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PAG 2025" sheetId="1" r:id="rId4"/>
    <sheet state="visible" name="FOPAG 2026 " sheetId="2" r:id="rId5"/>
    <sheet state="visible" name="ORÇAMENTO 2026" sheetId="3" r:id="rId6"/>
    <sheet state="visible" name="EXTRAS AUTORIZADOS 12 a 180126" sheetId="4" r:id="rId7"/>
    <sheet state="visible" name="EXTRAS AUTORIZADOS 19 a 250126" sheetId="5" r:id="rId8"/>
  </sheets>
  <definedNames>
    <definedName hidden="1" localSheetId="0" name="_xlnm._FilterDatabase">'FOPAG 2025'!$A$1:$Z$137</definedName>
    <definedName hidden="1" localSheetId="1" name="_xlnm._FilterDatabase">'FOPAG 2026 '!$A$1:$AC$186</definedName>
    <definedName hidden="1" localSheetId="1" name="Z_5A772858_650A_4E11_9DFD_FC0388A9BE6C_.wvu.FilterData">'FOPAG 2026 '!$A$1:$AC$186</definedName>
    <definedName hidden="1" localSheetId="1" name="Z_6CAE029E_8EC2_43E4_953B_CDDDFCCCAF9D_.wvu.FilterData">'FOPAG 2026 '!$A$1:$AC$186</definedName>
    <definedName hidden="1" localSheetId="1" name="Z_D17A1E91_FA4A_416D_8100_63E6BD60A270_.wvu.FilterData">'FOPAG 2026 '!$A$1:$AC$186</definedName>
    <definedName hidden="1" localSheetId="1" name="Z_D474B588_405A_4F0B_8E86_0666E7DB22FC_.wvu.FilterData">'FOPAG 2026 '!$A$1:$AC$186</definedName>
    <definedName hidden="1" localSheetId="1" name="Z_B529DE61_640C_4C0E_AF1C_13B51991ADCC_.wvu.FilterData">'FOPAG 2026 '!$A$1:$AC$186</definedName>
  </definedNames>
  <calcPr/>
  <customWorkbookViews>
    <customWorkbookView activeSheetId="0" maximized="1" windowHeight="0" windowWidth="0" guid="{B529DE61-640C-4C0E-AF1C-13B51991ADCC}" name="Thiago"/>
    <customWorkbookView activeSheetId="0" maximized="1" windowHeight="0" windowWidth="0" guid="{D474B588-405A-4F0B-8E86-0666E7DB22FC}" name="Gustavo"/>
    <customWorkbookView activeSheetId="0" maximized="1" windowHeight="0" windowWidth="0" guid="{D17A1E91-FA4A-416D-8100-63E6BD60A270}" name="Filtro 1"/>
    <customWorkbookView activeSheetId="0" maximized="1" windowHeight="0" windowWidth="0" guid="{5A772858-650A-4E11-9DFD-FC0388A9BE6C}" name="Jonas"/>
    <customWorkbookView activeSheetId="0" maximized="1" windowHeight="0" windowWidth="0" guid="{6CAE029E-8EC2-43E4-953B-CDDDFCCCAF9D}" name="Filtro 2"/>
  </customWorkbookViews>
  <extLst>
    <ext uri="GoogleSheetsCustomDataVersion2">
      <go:sheetsCustomData xmlns:go="http://customooxmlschemas.google.com/" r:id="rId9" roundtripDataChecksum="9Cf/BQHSSXeSmrzZb8F9jhnjvpKERqBwS0Z0l8XfmoE="/>
    </ext>
  </extLst>
</workbook>
</file>

<file path=xl/sharedStrings.xml><?xml version="1.0" encoding="utf-8"?>
<sst xmlns="http://schemas.openxmlformats.org/spreadsheetml/2006/main" count="1469" uniqueCount="489">
  <si>
    <t>SETOR</t>
  </si>
  <si>
    <t>CARGO</t>
  </si>
  <si>
    <t>HORÁRIO</t>
  </si>
  <si>
    <t>NOME</t>
  </si>
  <si>
    <t>DATA DE ADMISSÃO</t>
  </si>
  <si>
    <t>SALÁRIO</t>
  </si>
  <si>
    <t>QUEBRA DE CAIXA</t>
  </si>
  <si>
    <t>IDIOMA</t>
  </si>
  <si>
    <t>GRATIFICAÇÃO</t>
  </si>
  <si>
    <t>QUINQUÊNIO</t>
  </si>
  <si>
    <t>TOTAL DAS REMUNERAÇÕES</t>
  </si>
  <si>
    <t>INSS PATRONAL</t>
  </si>
  <si>
    <t>SAT</t>
  </si>
  <si>
    <t>SISTEMA S</t>
  </si>
  <si>
    <t>FGTS SALÁRIO</t>
  </si>
  <si>
    <t>FÉRIAS</t>
  </si>
  <si>
    <t>FÉRIAS 1/3</t>
  </si>
  <si>
    <t>FGTS FÉRIAS</t>
  </si>
  <si>
    <t>INSS FÉRIAS</t>
  </si>
  <si>
    <t>13° SALÁRIO</t>
  </si>
  <si>
    <t>FGTS 13°</t>
  </si>
  <si>
    <t>INSS 13°</t>
  </si>
  <si>
    <t>VALE TRANSPORTE</t>
  </si>
  <si>
    <t>TOTAL DOS ENCARGOS</t>
  </si>
  <si>
    <t>TOTAL</t>
  </si>
  <si>
    <t>GOVERNANÇA</t>
  </si>
  <si>
    <t>SUPERVISORA DE ANDARES II</t>
  </si>
  <si>
    <t>VANDERLEIA APARECIDA DE ALMEIDA</t>
  </si>
  <si>
    <t>SUPERVISORA DE ANDARES I</t>
  </si>
  <si>
    <t>ANGELICA SANTOS DA SILVA</t>
  </si>
  <si>
    <t>SAMARA DANIELI DOS SANTOS</t>
  </si>
  <si>
    <t>AUXILIAR DE GOVERNANÇA</t>
  </si>
  <si>
    <t>MARILENE DE SOUZA CABRAL</t>
  </si>
  <si>
    <t>MICHELE GONÇALVES</t>
  </si>
  <si>
    <t>ANA KATHERIN DIAZ</t>
  </si>
  <si>
    <t>JENIPHER RAMOS DO AMARAL</t>
  </si>
  <si>
    <t>REMILY ARIANE BEATRIZ DA SILVA</t>
  </si>
  <si>
    <t>BEATRIZ DA SILVA RIBEIRO PONTE</t>
  </si>
  <si>
    <t>ZELADORIA</t>
  </si>
  <si>
    <t>ZELADOR (A) INTERNO</t>
  </si>
  <si>
    <t>MARIA APARECIDA VAUNA</t>
  </si>
  <si>
    <t>ZELADOR (A) EXTERNO</t>
  </si>
  <si>
    <t>WALMIR DA SILVA MENDONÇA</t>
  </si>
  <si>
    <t>JESUS GONZALEZ REYS</t>
  </si>
  <si>
    <t>ZELADOR (A) PLANTONISTA</t>
  </si>
  <si>
    <t>NILVA DALLACORT</t>
  </si>
  <si>
    <t>GERÊNCIA</t>
  </si>
  <si>
    <t>GERENTE DE HOSPEDAGEM</t>
  </si>
  <si>
    <t>FABIANA FERREIRA DA COSTA</t>
  </si>
  <si>
    <t>RECEPÇÃO</t>
  </si>
  <si>
    <t>SUPERVISOR DE OPERAÇÕES E HOSPEDAGEM</t>
  </si>
  <si>
    <t>RAFAEL HASS</t>
  </si>
  <si>
    <t>SUPERVISOR (A) DE QUALIDADE</t>
  </si>
  <si>
    <t>JOSIANE VICENTE</t>
  </si>
  <si>
    <t>RECEPCIONISTA III</t>
  </si>
  <si>
    <t>MATEUS FERNANDO DE SOUZA FRIAS</t>
  </si>
  <si>
    <t>CHELINGTON SCHONWALD DOS SANTOS</t>
  </si>
  <si>
    <t>LUIS FERNANDO DIAS RIBEIRO</t>
  </si>
  <si>
    <t>VAGNER PEREIRA BIESEK</t>
  </si>
  <si>
    <t>RECEPCIONISTA II</t>
  </si>
  <si>
    <t>ANDRE MARIA DA SILVA JUNIOR</t>
  </si>
  <si>
    <t>JOSÉ CARLOS MODZINSKI COLACO</t>
  </si>
  <si>
    <t>MAICON DEINA</t>
  </si>
  <si>
    <t>LEONARDO DAVI DALLA CORTE</t>
  </si>
  <si>
    <t>ELIABE JANUARIO SILVEIRA DA SILVA</t>
  </si>
  <si>
    <t>MENSAGERIA</t>
  </si>
  <si>
    <t>MENSAGEIRO INSPETOR</t>
  </si>
  <si>
    <t>JOAQUIM AMBROSIO DOS SANTOS</t>
  </si>
  <si>
    <t>PORTEIRO/MENSAGEIRO</t>
  </si>
  <si>
    <t>RODRIGO SILVA DOS SANTOS</t>
  </si>
  <si>
    <t>MENSAGEIRO</t>
  </si>
  <si>
    <t>GEBSON COSTA DOS SANTOS</t>
  </si>
  <si>
    <t>DANIEL DE LIMA URIZAR</t>
  </si>
  <si>
    <t>WALDY ROLANDO GONZALEZ CARDOSO</t>
  </si>
  <si>
    <t>LAVANDERIA</t>
  </si>
  <si>
    <t>SUPERVISOR DE LAVANDERIA</t>
  </si>
  <si>
    <t>MAX JAYLOR DA SILVEIRA RIBEIRO</t>
  </si>
  <si>
    <t>AUXILIAR DE LAVANDERIA / MAQUINISTA</t>
  </si>
  <si>
    <t>ALEXANDER CORRALES ORDAZ</t>
  </si>
  <si>
    <t>AUXILIAR DE LAVANDERIA</t>
  </si>
  <si>
    <t>ANDREIA CAETANO DA SILVA MARQUES</t>
  </si>
  <si>
    <t>IRENE JOSE DA SILVA</t>
  </si>
  <si>
    <t>ROUPEIRO</t>
  </si>
  <si>
    <t>ISAC ROMERO HENEG</t>
  </si>
  <si>
    <t>PORTARIA</t>
  </si>
  <si>
    <t>SUPERVISOR(A) DE PORTARIA</t>
  </si>
  <si>
    <t>PAMELA ROBERTA DE CAMPOS</t>
  </si>
  <si>
    <t>PORTEIRO FOLGUISTA</t>
  </si>
  <si>
    <t>RODINELES LIMA DOS SANTOS</t>
  </si>
  <si>
    <t>PORTEIRO RONDISTA III</t>
  </si>
  <si>
    <t>FERNANDO AUGUSTO COSTA DA LUZ</t>
  </si>
  <si>
    <t>PORTEIRO RONDISTA</t>
  </si>
  <si>
    <t>EDUARDO ANDRE DE SOUZA</t>
  </si>
  <si>
    <t>JORGE EDUARDO LIRA LOPES DE OLIVEIRA</t>
  </si>
  <si>
    <t>FRIGOBAR</t>
  </si>
  <si>
    <t>AUXILIAR DE FRIGOBAR</t>
  </si>
  <si>
    <t>DAIANE KNAIP SALAS</t>
  </si>
  <si>
    <t>LUANA ARAUJO PINHEIRO SOARES</t>
  </si>
  <si>
    <t>MANUTENÇÃO</t>
  </si>
  <si>
    <t>ENCARREGADO DE MANUTENCAO</t>
  </si>
  <si>
    <t>JOAO BATISTA DA SILVA</t>
  </si>
  <si>
    <t>MANUTENCIONISTA ESPECIALISTA</t>
  </si>
  <si>
    <t>ELIZELSON VANDERLEI SILVEIRA DOS SANTOS</t>
  </si>
  <si>
    <t>MANUTENCIONISTA III</t>
  </si>
  <si>
    <t>ANDERSON LOZZI</t>
  </si>
  <si>
    <t>MANUTENCIONISTA II</t>
  </si>
  <si>
    <t>ADENILSON RODRIGUES DO NASCIMENTO</t>
  </si>
  <si>
    <t>SERVIÇOS GERAIS MANUTENÇÃO II</t>
  </si>
  <si>
    <t>ENNIS EMILIO TOVAR PALACIOS</t>
  </si>
  <si>
    <t>COZINHA</t>
  </si>
  <si>
    <t>CHEF DE COZINHA</t>
  </si>
  <si>
    <t>FABRICIO FELIPE SOUZA</t>
  </si>
  <si>
    <t>LIDER DE COZINHA</t>
  </si>
  <si>
    <t>PATRICIA REGINA TORRES</t>
  </si>
  <si>
    <t>COZINHEIRO SENIOR</t>
  </si>
  <si>
    <t>DAIANA SABLINA MODZINSKI</t>
  </si>
  <si>
    <t>CESAR APARECIDO MARÇAL</t>
  </si>
  <si>
    <t>COZINHEIRO (A) IV</t>
  </si>
  <si>
    <t>ANGELA MARIA DOS SANTOS DA CRUZ</t>
  </si>
  <si>
    <t>EVA APARECIDA DE OLIVEIRA</t>
  </si>
  <si>
    <t>COZINHEIRO (A) II</t>
  </si>
  <si>
    <t>YERSON JOSE BORJA RIVAS</t>
  </si>
  <si>
    <t>ARIEL MARTINEZ PRIETO</t>
  </si>
  <si>
    <t>AUXILIAR DE COZINHA (COPA LANCHE)</t>
  </si>
  <si>
    <t>CRISTHIAN ALEXANDER VASQUEZ OLIVEROS</t>
  </si>
  <si>
    <t>GARDE MANGER</t>
  </si>
  <si>
    <t>ADRIANE DOS SANTOS DA SILVA</t>
  </si>
  <si>
    <t>STEWARD</t>
  </si>
  <si>
    <t>RAFAEL ARMANDO SILVA DE JESUS</t>
  </si>
  <si>
    <t>ROSANA CRISTO</t>
  </si>
  <si>
    <t>MANOEL ELOIR MARTINS</t>
  </si>
  <si>
    <t>AUXILIAR DE PORCIONAMENTO</t>
  </si>
  <si>
    <t>DHEIVID MOACIR MACIEL</t>
  </si>
  <si>
    <t>COPA</t>
  </si>
  <si>
    <t>SUPERVISOR DE COPA</t>
  </si>
  <si>
    <t>MARLENE RODRIGUES DA CRUZ</t>
  </si>
  <si>
    <t>COPEIRO (A) III - MADRUGADA</t>
  </si>
  <si>
    <t>LUCINEIA NERIS DE JESUS</t>
  </si>
  <si>
    <t>COPEIRO (A) II</t>
  </si>
  <si>
    <t>BEATRIZ RIBAS PONTES</t>
  </si>
  <si>
    <t>ROSELI MACHADO</t>
  </si>
  <si>
    <t>CONFEITARIA</t>
  </si>
  <si>
    <t>CONFEITEIRO (A) JR</t>
  </si>
  <si>
    <t>CRISTINA RAQUEL KROLOW</t>
  </si>
  <si>
    <t>PADARIA</t>
  </si>
  <si>
    <t>PADEIRO V</t>
  </si>
  <si>
    <t>ROBENILDO ANTONIO RODRIGUES</t>
  </si>
  <si>
    <t>PADEIRO III</t>
  </si>
  <si>
    <t>EDILSON ADRIANO DA SILVA RIBEIRO</t>
  </si>
  <si>
    <t>RESTAURANTE</t>
  </si>
  <si>
    <t>MAîTRE PL.</t>
  </si>
  <si>
    <t>AILSON ANTONIO VASCAO DE SOUZA</t>
  </si>
  <si>
    <t>MAÎTRE JR.</t>
  </si>
  <si>
    <t>RONALDO MARTINSKI</t>
  </si>
  <si>
    <t>CHEFE DE FILA</t>
  </si>
  <si>
    <t>LUCIA NAYARA MARTINS VIEIRA</t>
  </si>
  <si>
    <t>CAIXA ATENDENTE</t>
  </si>
  <si>
    <t>GABRIELI PEFFER GAUTO</t>
  </si>
  <si>
    <t>TAINA GUILHERME GONCALES DA CRUZ</t>
  </si>
  <si>
    <t>ISABELLY DERE AMARILLA</t>
  </si>
  <si>
    <t>GARÇOM II</t>
  </si>
  <si>
    <t>JOSE DE ARIMATEIA LOPES</t>
  </si>
  <si>
    <t>EDER CIRILO OTAZO</t>
  </si>
  <si>
    <t>KAOAN BECKER DE SA</t>
  </si>
  <si>
    <t>EVANDRO JOSÉ CARVALHO</t>
  </si>
  <si>
    <t>IRINALDO ROJAS BUENO</t>
  </si>
  <si>
    <t>GARÇOM</t>
  </si>
  <si>
    <t>ARI BOARO</t>
  </si>
  <si>
    <t>GARÇONETE</t>
  </si>
  <si>
    <t>ANGÉLICA LIMA FLEISCHMAN</t>
  </si>
  <si>
    <t>SUSANA INES MERLO DE GUZMAN</t>
  </si>
  <si>
    <t>ANDREIA MAES</t>
  </si>
  <si>
    <t>PATRICIA MACHADO</t>
  </si>
  <si>
    <t>BUFFETEIRA II</t>
  </si>
  <si>
    <t>RENI RAMOS</t>
  </si>
  <si>
    <t>BUFFETEIRA</t>
  </si>
  <si>
    <t>HANA GABRIELE MATOS SOUSA FREITAS</t>
  </si>
  <si>
    <t>ALESSANDRA COSTA CARDOSO</t>
  </si>
  <si>
    <t>AUXILIAR DE BAR</t>
  </si>
  <si>
    <t>CASSIO MURILO DE CARVALHO SILVA</t>
  </si>
  <si>
    <t>DOMCAR NAZARETH MARTINEZ ESPANA</t>
  </si>
  <si>
    <t>PISCINA</t>
  </si>
  <si>
    <t>SUPERVISOR DE A&amp;B</t>
  </si>
  <si>
    <t>LIONEL SZARAZGAT</t>
  </si>
  <si>
    <t>WAGNER PINHEIRO SADIN</t>
  </si>
  <si>
    <t>BARMAN I</t>
  </si>
  <si>
    <t>EDINEI RIBEIRO</t>
  </si>
  <si>
    <t>STHEFANY CRISTINA DA SILVA MORENO</t>
  </si>
  <si>
    <t>LUAN FELIPE ALBERICI</t>
  </si>
  <si>
    <t>NICOLAS ANDREY BINOTTO</t>
  </si>
  <si>
    <t>PAULO HENRIQUE DOS SANTOS NOGAROTTO</t>
  </si>
  <si>
    <t>RALDNEY WALTER GUARIPUNA HORTELAN</t>
  </si>
  <si>
    <t>RAFAEL RIBEIRO DA COSTA</t>
  </si>
  <si>
    <t>ATENDENTE DE A&amp;B</t>
  </si>
  <si>
    <t>WALLICK GABRIEL OVIEDO DA SILVA</t>
  </si>
  <si>
    <t>KARENA RAMIRES</t>
  </si>
  <si>
    <t>EVENTOS</t>
  </si>
  <si>
    <t>ASSISTENTE DE EVENTOS</t>
  </si>
  <si>
    <t>EMILIA ESTEFANI BERMUDEZ PORTILLA</t>
  </si>
  <si>
    <t>ALMAXARIFADO</t>
  </si>
  <si>
    <t>ASSISTENTE DE COMPRAS</t>
  </si>
  <si>
    <t>MARCOS ANTONIO PRADELLA</t>
  </si>
  <si>
    <t>ALMOXARIFE</t>
  </si>
  <si>
    <t>TONY FERNANDO SIMPLICIO</t>
  </si>
  <si>
    <t>AUXILIAR DE ALMOXARIFADO</t>
  </si>
  <si>
    <t>FRANTONY ALEXANDER NIEVES TORREALBA</t>
  </si>
  <si>
    <t>IGOR MATHEUS PIRES ROBERTO</t>
  </si>
  <si>
    <t>AUDITORIA</t>
  </si>
  <si>
    <t>ASSISTENTE DE AUDITOR</t>
  </si>
  <si>
    <t>EDER JOSUE SAENZ PACAVITA</t>
  </si>
  <si>
    <t>CONTROLE</t>
  </si>
  <si>
    <t>CONTROLLER</t>
  </si>
  <si>
    <t>ELTON ROQUE MAIER</t>
  </si>
  <si>
    <t>AUXILIAR DE CONTROLER II</t>
  </si>
  <si>
    <t>JONATHAN HENRIQUE MOTA</t>
  </si>
  <si>
    <t>FINANCEIRO</t>
  </si>
  <si>
    <t>ANALISTA FINANCEIRO JUNIOR</t>
  </si>
  <si>
    <t>RODRIGO SAMUEL DO VALE MENDONÇA</t>
  </si>
  <si>
    <t>ASSISTENTE FINANCEIRO II</t>
  </si>
  <si>
    <t>GRACIELE ROQUE</t>
  </si>
  <si>
    <t>MARCEL LAMEU AMBROSIO</t>
  </si>
  <si>
    <t>ROSANGELA MARIA DA SILVA PEDROSO</t>
  </si>
  <si>
    <t>RECREAÇÃO</t>
  </si>
  <si>
    <t>SUPERVISOR DE RECREAÇÃO JUNIOR</t>
  </si>
  <si>
    <t>LUCAS SILVA BARRETO</t>
  </si>
  <si>
    <t>AUXILIAR DE RECREAÇÃO</t>
  </si>
  <si>
    <t>JHENIFFER GABRIELLI DANTAS SANTOS</t>
  </si>
  <si>
    <t>WILLIAM DA SILVA RONCONY</t>
  </si>
  <si>
    <t>BRUNO GOMES SILVA</t>
  </si>
  <si>
    <t>PATRICIA FERREIRA DE MORAES</t>
  </si>
  <si>
    <t>COMERCIAL</t>
  </si>
  <si>
    <t>ASSISTENTE COMERCIAL I</t>
  </si>
  <si>
    <t>THAIS DAIANY CRISTO UMETSU</t>
  </si>
  <si>
    <t>RESERVAS</t>
  </si>
  <si>
    <t>AGENTE DE RESERVAS III</t>
  </si>
  <si>
    <t>KARINE TATIANA PRATES DA SILVA ALMEIDA</t>
  </si>
  <si>
    <t>AGENTE DE RESERVAS II</t>
  </si>
  <si>
    <t>RAPHAELA SILVA DE LIMA</t>
  </si>
  <si>
    <t>AGENTE DE RESERVAS I</t>
  </si>
  <si>
    <t>DIOGO TUFAILE</t>
  </si>
  <si>
    <t>AMANDA MOREIRA DOS SANTOS FERNANDES</t>
  </si>
  <si>
    <t>MORGANA BROL MENDONÇA</t>
  </si>
  <si>
    <t>MARKETING</t>
  </si>
  <si>
    <t>ANALISTA DE MARKETING</t>
  </si>
  <si>
    <t>ANDRÉ FELIPE DE SOUZA XAVIER</t>
  </si>
  <si>
    <t>MAURÍCIO ARAÚJO DOS SANTOS</t>
  </si>
  <si>
    <t>ASSISTENTE DE MARKETING</t>
  </si>
  <si>
    <t>NATHALIA ALVES SANTANA</t>
  </si>
  <si>
    <t>SOCIAL MEDIA</t>
  </si>
  <si>
    <t>ISADORA TEIXEIRA BRAMBILLA</t>
  </si>
  <si>
    <t>GERENTE DE PESSOAL</t>
  </si>
  <si>
    <t>VITOR GABRIEL CARDOSO DA SILVA</t>
  </si>
  <si>
    <t>RH/DP</t>
  </si>
  <si>
    <t>ASSISTENTE DP II</t>
  </si>
  <si>
    <t>ANA CAROLINA AMARILLA</t>
  </si>
  <si>
    <t>AUXILIAR DE DP</t>
  </si>
  <si>
    <t>LUAN MATHEUS DE SOUZA</t>
  </si>
  <si>
    <t>AUXILIAR DE RH</t>
  </si>
  <si>
    <t>JONAS VITTOR MIRANDA DENIZ</t>
  </si>
  <si>
    <t>APRENDIZ</t>
  </si>
  <si>
    <t>APRENDIZ 411010</t>
  </si>
  <si>
    <t>YASMIN VITORIA ANDRADES DOS SANTOS</t>
  </si>
  <si>
    <t>TAINARA SANTOS DE LIMA</t>
  </si>
  <si>
    <t>GABRIELLE BEATRIZ SCALCO</t>
  </si>
  <si>
    <t>BRUNO HENRIQUE GONÇALVES</t>
  </si>
  <si>
    <t>TOTAL COMPLEMENTAR</t>
  </si>
  <si>
    <t>GERÊNCIA DE HOSPEDAGEM</t>
  </si>
  <si>
    <t>PREENCHIDA</t>
  </si>
  <si>
    <t>SUPERVISOR (A) DE ANDARES PLENO</t>
  </si>
  <si>
    <t>SUPERVISOR(A) DE ANDARES JR</t>
  </si>
  <si>
    <t>ANDREIA GOMES ARAUJO</t>
  </si>
  <si>
    <t>AUXILIAR DE GOVERNANCA</t>
  </si>
  <si>
    <t>MICHELLE GONCALVES</t>
  </si>
  <si>
    <t>JULIANA ALVES DO NASCIMENTO</t>
  </si>
  <si>
    <t>SHELKY GERALDIN ESCOBAR SAVELLI</t>
  </si>
  <si>
    <t>SUELMA DE SANTANA ROCHA SANTOS</t>
  </si>
  <si>
    <t>ILDA COSTA</t>
  </si>
  <si>
    <t>VAGA</t>
  </si>
  <si>
    <t>JESUS GONZALEZ REYES</t>
  </si>
  <si>
    <t>ZELADOR(A) JR</t>
  </si>
  <si>
    <t>LUANA DE ALENCAR NASCIMENTO</t>
  </si>
  <si>
    <t>TESTE</t>
  </si>
  <si>
    <t>MAQUINISTA JUNIOR</t>
  </si>
  <si>
    <t>ANTONY EMMANUEL WAITH FIGUEROA</t>
  </si>
  <si>
    <t>ROUPEIRO JR</t>
  </si>
  <si>
    <t>EDINEIA CAETANO DA SILVA DOS SANTOS</t>
  </si>
  <si>
    <t>MARTHA BEATRIZ GONZALEZ SAMUELS</t>
  </si>
  <si>
    <t>SUPERVISOR(A) DE LAVANDERIA JR</t>
  </si>
  <si>
    <t>LUANA DOS SANTOS</t>
  </si>
  <si>
    <t>GERÊNCIA DE A&amp;B</t>
  </si>
  <si>
    <t>JULIO MARCOS DE LIMA</t>
  </si>
  <si>
    <t>CHEFE DE COZINHA PLENO</t>
  </si>
  <si>
    <t>CHEFE DE COZINHA JR</t>
  </si>
  <si>
    <t>LIDER DE COZINHA JR</t>
  </si>
  <si>
    <t>SILVANIA CRISTINA TURMINA</t>
  </si>
  <si>
    <t>COZINHEIRO (A) PLENO</t>
  </si>
  <si>
    <t>COZINHEIRO (A) JR</t>
  </si>
  <si>
    <t>ZOLIMA COSTA SERRAO</t>
  </si>
  <si>
    <t>AUXILIAR DE COZINHA</t>
  </si>
  <si>
    <t>GARD MANGER PLENO</t>
  </si>
  <si>
    <t>GARD MANGER JR</t>
  </si>
  <si>
    <t>DIEGO FELIPE VASCONCELOS TAVARES</t>
  </si>
  <si>
    <t>STEWARD JR</t>
  </si>
  <si>
    <t>NAIARA SANTA ROSA DAS MERCES</t>
  </si>
  <si>
    <t>POLYANA PASTORELO NIEHUES</t>
  </si>
  <si>
    <t>NUTRICIONISTA JUNIOR</t>
  </si>
  <si>
    <t>COZINHA - COPA LANCHE</t>
  </si>
  <si>
    <t>MONICA MARGARITA BOGADO ALCARAZ</t>
  </si>
  <si>
    <t>COPEIRO (A) JR</t>
  </si>
  <si>
    <t>COPEIRO (A) PLENO</t>
  </si>
  <si>
    <t>TALITA APARECIDA FARIA COTTA</t>
  </si>
  <si>
    <t>COZINHA - LEGUMERIA</t>
  </si>
  <si>
    <t>EISTEN LABAJOS VILLENA</t>
  </si>
  <si>
    <t>COZINHA - PORCIONAMENTO</t>
  </si>
  <si>
    <t>SUPERVISOR DE COPA JUNIOR</t>
  </si>
  <si>
    <t>CYNTHIA ESTHER DOS SANTOS LOEBLEIN</t>
  </si>
  <si>
    <t>JULIETE ALVES DA LUZ</t>
  </si>
  <si>
    <t>JEAN CARLOS LOPES</t>
  </si>
  <si>
    <t>CONFEITEIRO (A) PLENO</t>
  </si>
  <si>
    <t>BEATRIZ GUIDO CECCONI</t>
  </si>
  <si>
    <t>PADEIRO (A) JR</t>
  </si>
  <si>
    <t>PADEIRO (A) PLENO</t>
  </si>
  <si>
    <t>PADEIRO (A) SENIOR</t>
  </si>
  <si>
    <t>RESTAURANTE ALLEGRO</t>
  </si>
  <si>
    <t>NOITE</t>
  </si>
  <si>
    <t>MARCONI HENRIQUE DE OLIVEIRA MAGALHAES</t>
  </si>
  <si>
    <t>MAITRE PLENO</t>
  </si>
  <si>
    <t>RESTAURANTE TERRAZA</t>
  </si>
  <si>
    <t>CHEFE DE FILA PLENO</t>
  </si>
  <si>
    <t>MANHÃ</t>
  </si>
  <si>
    <t>CHEFE DE FILA JR</t>
  </si>
  <si>
    <t>CAIXA ATENDENTE SENIOR</t>
  </si>
  <si>
    <t>SABRINA RODRIGUES MARQUES</t>
  </si>
  <si>
    <t>CAIXA ATENDENTE JR</t>
  </si>
  <si>
    <t>GARÇOM PLENO</t>
  </si>
  <si>
    <t>ELENILSON PEREIRA DA SILVA</t>
  </si>
  <si>
    <t>GARÇOM JR</t>
  </si>
  <si>
    <t>SILVIA ROBERTA DOS SANTOS</t>
  </si>
  <si>
    <t>BUFFETEIRA JR</t>
  </si>
  <si>
    <t>DARLENE APARECIDA BOTTON</t>
  </si>
  <si>
    <t>GARÇONETE JR</t>
  </si>
  <si>
    <t>DAVID SILVA RODRIGUES</t>
  </si>
  <si>
    <t>EVANDRO JOSE CARVALHO</t>
  </si>
  <si>
    <t>JONATHAN EZEQUIEL CABRERA</t>
  </si>
  <si>
    <t>LUIZ RICARDO SANTOS</t>
  </si>
  <si>
    <t>NICOLE ESTEFANY RUZZANTE BERMUDEZ</t>
  </si>
  <si>
    <t>CHARLES MACHADO DE OLIVEIRA</t>
  </si>
  <si>
    <t>ABRAAO MOISES SERAFIM DOS SANTOS</t>
  </si>
  <si>
    <t>LUCAS FERREIRA MERTIG</t>
  </si>
  <si>
    <t>BUFFETEIRA SENIOR</t>
  </si>
  <si>
    <t>MADRUGADA</t>
  </si>
  <si>
    <t>TARDE</t>
  </si>
  <si>
    <t>MATHEUS JOAQUIM DE ARAUJO SILVA</t>
  </si>
  <si>
    <t>PISCINA - BAR GAIA</t>
  </si>
  <si>
    <t>SUPERVISOR(A) DE A &amp; B PLENO</t>
  </si>
  <si>
    <t>BARMAN JR</t>
  </si>
  <si>
    <t>INTERMEDIÁRIO</t>
  </si>
  <si>
    <t>DIEGO EMANOEL DO NASCIMENTO COSTA JUNIOR</t>
  </si>
  <si>
    <t>RICK DE OLIVEIRA BOMFIM</t>
  </si>
  <si>
    <t>BARMAN PLENO</t>
  </si>
  <si>
    <t>ANDERSON RICARDO MOREIRA BORGES</t>
  </si>
  <si>
    <t>GUARDA VIDAS JR</t>
  </si>
  <si>
    <t>WALLYCK GABRIEL OVIEDO DA SILVA</t>
  </si>
  <si>
    <t>FABIO RODRIGUES BIANCHIM</t>
  </si>
  <si>
    <t>CARMEM LAURA DE VASCONCELOS TAVARES</t>
  </si>
  <si>
    <t>JOEL ALEJANDRO RODRIGUEZ GOMEZ</t>
  </si>
  <si>
    <t>IAN DA SILVA</t>
  </si>
  <si>
    <t>GERENTE DE HOSPEDAGEM PLENO</t>
  </si>
  <si>
    <t>RAFAEL HAAS</t>
  </si>
  <si>
    <t>SUPERVISOR (A) DE OPERAÇÃO E HOSPEDAGEM JUNIOR</t>
  </si>
  <si>
    <t>SUPERVISOR DE RECEPCAO JR</t>
  </si>
  <si>
    <t>SUPERVISOR(A) DE GUEST RELATIONS JR</t>
  </si>
  <si>
    <t>RECEPCIONISTA ESPECIALISTA</t>
  </si>
  <si>
    <t>RECEPCIONISTA PLENO</t>
  </si>
  <si>
    <t>RECEPCIONISTA SÊNIOR</t>
  </si>
  <si>
    <t>MARCO ANTONIO VALDEZ FRANCO</t>
  </si>
  <si>
    <t>RECEPCIONISTA JR</t>
  </si>
  <si>
    <t>KARLA VITORIA LEAL</t>
  </si>
  <si>
    <t>PERLA DE JESUS</t>
  </si>
  <si>
    <t>GUEST RELATIONS JR</t>
  </si>
  <si>
    <t>MENSAGEIRO INSPETOR JR</t>
  </si>
  <si>
    <t>ERICK CEBALLOS VALDES</t>
  </si>
  <si>
    <t>GERÊNCIA OPERACIONAL</t>
  </si>
  <si>
    <t>MARCOS ANTONIO RAMILIO</t>
  </si>
  <si>
    <t>MANUTENCIONISTA SENIOR</t>
  </si>
  <si>
    <t xml:space="preserve">ANDERSON LOZZI	</t>
  </si>
  <si>
    <t>AGUARDANDO</t>
  </si>
  <si>
    <t>SERVIÇOS GERAIS DE MANUTENÇÃO PLENO</t>
  </si>
  <si>
    <t>ANGEL JOSE DURAN TOVAR</t>
  </si>
  <si>
    <t>SERVIÇOS GERAIS DE MANUTENÇÃO JR</t>
  </si>
  <si>
    <t>SUPERVISOR (A) DE PORTARIA JUNIOR</t>
  </si>
  <si>
    <t>PORTEIRO RONDISTA PLENO</t>
  </si>
  <si>
    <t>WILLIAN VINICIUS PEREIRA DIAS</t>
  </si>
  <si>
    <t>PORTEIRO RONDISTA JR</t>
  </si>
  <si>
    <t>FOLGUISTA</t>
  </si>
  <si>
    <t>PORTEIRO FOLGUISTA JR</t>
  </si>
  <si>
    <t>ROMUALDO FERREIRA</t>
  </si>
  <si>
    <t>RECREACIONISTA JR</t>
  </si>
  <si>
    <t>FRANCIELE OLIVEIRA DE ASSIS</t>
  </si>
  <si>
    <t>AUXILIAR DE RECREACAO</t>
  </si>
  <si>
    <t>GERÊNCIA DE PESSOAL</t>
  </si>
  <si>
    <t>GERENTE DE PESSOAL JR</t>
  </si>
  <si>
    <t>ASSISTENTE DE DPTO PESSOAL PLENO</t>
  </si>
  <si>
    <t>INTERMITENTE</t>
  </si>
  <si>
    <t>GUSTAVO BOGLER DOS REIS</t>
  </si>
  <si>
    <t>ASSISTENTE DE RH PLENO</t>
  </si>
  <si>
    <t>AUXILIAR RH</t>
  </si>
  <si>
    <t>AUXILIAR DP</t>
  </si>
  <si>
    <t>BRUNO HENRIQUE GONCALVES</t>
  </si>
  <si>
    <t>AUDITORIA E QUALIDADE</t>
  </si>
  <si>
    <t>ASSISTENTE DE QUALIDADE E AUDITORIA PLENO</t>
  </si>
  <si>
    <t>MATHEUS SOARES DO NASCIMENTO</t>
  </si>
  <si>
    <t>COMPRAS</t>
  </si>
  <si>
    <t>COMPRADOR JR</t>
  </si>
  <si>
    <t>ALMOXARIFADO</t>
  </si>
  <si>
    <t>JORGE MAURICIO RIBEIRO DOS SANTOS</t>
  </si>
  <si>
    <t>ALMOXARIFE JR</t>
  </si>
  <si>
    <t>GUSTAVO HENRIQUE CABRAL HOFF</t>
  </si>
  <si>
    <t>ASSISTENTE DE EVENTOS PLENO</t>
  </si>
  <si>
    <t>GERÊNCIA COMERCIAL</t>
  </si>
  <si>
    <t>AGENTE DE RESERVAS ESPECIALISTA</t>
  </si>
  <si>
    <t>AGENTE DE RESERVAS PLENO</t>
  </si>
  <si>
    <t>MATHEUS CALO DE FIGUEIREDO</t>
  </si>
  <si>
    <t>AGENTE DE RESERVAS JR</t>
  </si>
  <si>
    <t>SABRINA ATATI DZEVIELEVSKI MASSA</t>
  </si>
  <si>
    <t>REBECCA FRANCHIN CABRERA</t>
  </si>
  <si>
    <t>ASSISTENTE COMERCIAL PLENO</t>
  </si>
  <si>
    <t>SUPERVISOR (A) DE MARKETING JUNIOR</t>
  </si>
  <si>
    <t>MAURICIO ARAUJO DOS SANTOS</t>
  </si>
  <si>
    <t>ANALISTA DE MARKETING PLENO</t>
  </si>
  <si>
    <t>SOCIAL MIDIA PLENO</t>
  </si>
  <si>
    <t>FERNANDA GUERREIRO BARZ</t>
  </si>
  <si>
    <t>ASSISTENTE ADM FINANCEIRO PLENO</t>
  </si>
  <si>
    <t>EDCLEIA BAPTISTA ORENCIO ANTUNES</t>
  </si>
  <si>
    <t>KARLA DE ANDRADE DIAS</t>
  </si>
  <si>
    <t>ASSISTENTE ADMINISTRATIVO FINANCEIRO JR</t>
  </si>
  <si>
    <t>PEDRO AUGUSTO FILETTI</t>
  </si>
  <si>
    <t>CONTROLLER SENIOR</t>
  </si>
  <si>
    <t>ASSISTENTE DE CONTROLLER JUNIOR</t>
  </si>
  <si>
    <t>GUILHERME FRANCISCO DE OLIVEIRA FUZINATTO</t>
  </si>
  <si>
    <t>SPA</t>
  </si>
  <si>
    <t>LUISA MATOS DA SILVA BARBOSA</t>
  </si>
  <si>
    <t>MASSAGISTA JR</t>
  </si>
  <si>
    <t>LUZ MARINA RAMIREZ</t>
  </si>
  <si>
    <t>MASSOTERAPEUTA JR</t>
  </si>
  <si>
    <t>AQUAMANIA</t>
  </si>
  <si>
    <t>CAMILA MILENA ALLOU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</si>
  <si>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</si>
  <si>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</si>
  <si>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</si>
  <si>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</si>
  <si>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</si>
  <si>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</si>
  <si>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</si>
  <si>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</si>
  <si>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</si>
  <si>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</si>
  <si>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</si>
  <si>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</si>
  <si>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</si>
  <si>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ORÇAMENTO COM PESSOAL TOTAL</t>
  </si>
  <si>
    <t>FOPAG ORÇADA</t>
  </si>
  <si>
    <t>FOPAG REALIZADA</t>
  </si>
  <si>
    <t>EXTRAS ORÇADO</t>
  </si>
  <si>
    <t>EXTRAS REALIZADO</t>
  </si>
  <si>
    <t>EXTRAS AUTORIZADOS</t>
  </si>
  <si>
    <t>EXTRAS PRIMEIRA SEMANA</t>
  </si>
  <si>
    <t>EXTRAS SEGUNDA SEMANA</t>
  </si>
  <si>
    <t>EXTRAS TERCEIRA SEMANA</t>
  </si>
  <si>
    <t>EXTRAS QUARTA SEMANA</t>
  </si>
  <si>
    <t>EXTRAS QUINTA SEMANA</t>
  </si>
  <si>
    <t>SALDO DE EXTRAS</t>
  </si>
  <si>
    <t>QUADRO APROVADO</t>
  </si>
  <si>
    <t>QUADRO EFETIVO</t>
  </si>
  <si>
    <t>QUADRO ABERTO</t>
  </si>
  <si>
    <t>FOLGAS</t>
  </si>
  <si>
    <t>DOMINGOS</t>
  </si>
  <si>
    <t>VAGAS</t>
  </si>
  <si>
    <t>DEMANDA</t>
  </si>
  <si>
    <t>ATESTADO</t>
  </si>
  <si>
    <t>TOTAL DE DIÁRIAS</t>
  </si>
  <si>
    <t>EXTRAS SOLICITADOS</t>
  </si>
  <si>
    <t>SALDO</t>
  </si>
  <si>
    <t>VALOR</t>
  </si>
  <si>
    <t>COZINHA - PIZZARIA</t>
  </si>
  <si>
    <t>EXTRAS AUTORIZADOS DA SEMANA</t>
  </si>
  <si>
    <t>VALOR DO EXTRA</t>
  </si>
  <si>
    <t>VALOR DE EXTRAS</t>
  </si>
  <si>
    <t>EXTRAS REALIZADOS DA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</si>
</sst>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R$&quot;\ * #,##0.00_-;\-&quot;R$&quot;\ * #,##0.00_-;_-&quot;R$&quot;\ * &quot;-&quot;??_-;_-@"/>
    <numFmt numFmtId="165" formatCode="dd/MM/yyyy"/>
    <numFmt numFmtId="166" formatCode="_-[$R$-416]\ * #,##0.00_-;\-[$R$-416]\ * #,##0.00_-;_-[$R$-416]\ * &quot;-&quot;??_-;_-@"/>
    <numFmt numFmtId="167" formatCode="dd/mm/yyyy"/>
    <numFmt numFmtId="168" formatCode="[$R$ -416]#,##0.00"/>
    <numFmt numFmtId="169" formatCode="&quot;R$&quot;\ #,##0.00"/>
  </numFmts>
  <fonts count="10">
    <font>
      <sz val="11.0"/>
      <color theme="1"/>
      <name val="Arial"/>
      <scheme val="minor"/>
    </font>
    <font>
      <b/>
      <sz val="11.0"/>
      <color theme="1"/>
      <name val="Courier New"/>
    </font>
    <font>
      <sz val="11.0"/>
      <color theme="1"/>
      <name val="Courier New"/>
    </font>
    <font>
      <sz val="11.0"/>
      <color rgb="FF000000"/>
      <name val="Courier New"/>
    </font>
    <font/>
    <font>
      <b/>
      <sz val="11.0"/>
      <color rgb="FFFFFFFF"/>
      <name val="Courier New"/>
    </font>
    <font>
      <b/>
      <color theme="1"/>
      <name val="Courier New"/>
    </font>
    <font>
      <color theme="1"/>
      <name val="Calibri"/>
    </font>
    <font>
      <color theme="1"/>
      <name val="Courier New"/>
    </font>
    <font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D8D8D8"/>
        <bgColor rgb="FFD8D8D8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9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vertical="center"/>
    </xf>
    <xf borderId="1" fillId="0" fontId="2" numFmtId="49" xfId="0" applyAlignment="1" applyBorder="1" applyFont="1" applyNumberFormat="1">
      <alignment horizontal="left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8" fontId="1" numFmtId="164" xfId="0" applyAlignment="1" applyBorder="1" applyFill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7" fontId="2" numFmtId="49" xfId="0" applyAlignment="1" applyBorder="1" applyFont="1" applyNumberFormat="1">
      <alignment horizontal="left" vertical="center"/>
    </xf>
    <xf borderId="1" fillId="0" fontId="2" numFmtId="166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left" vertical="center"/>
    </xf>
    <xf borderId="1" fillId="0" fontId="3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167" xfId="0" applyAlignment="1" applyBorder="1" applyFont="1" applyNumberFormat="1">
      <alignment horizontal="center" vertical="center"/>
    </xf>
    <xf borderId="1" fillId="7" fontId="2" numFmtId="165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7" fontId="1" numFmtId="49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right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8" fontId="1" numFmtId="168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5" fillId="4" fontId="2" numFmtId="164" xfId="0" applyAlignment="1" applyBorder="1" applyFont="1" applyNumberFormat="1">
      <alignment horizontal="center" vertical="center"/>
    </xf>
    <xf borderId="5" fillId="5" fontId="1" numFmtId="164" xfId="0" applyAlignment="1" applyBorder="1" applyFont="1" applyNumberFormat="1">
      <alignment horizontal="center" vertical="center"/>
    </xf>
    <xf borderId="5" fillId="4" fontId="2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12" fontId="5" numFmtId="0" xfId="0" applyAlignment="1" applyBorder="1" applyFill="1" applyFont="1">
      <alignment horizontal="center" readingOrder="0" vertical="center"/>
    </xf>
    <xf borderId="1" fillId="0" fontId="2" numFmtId="49" xfId="0" applyAlignment="1" applyBorder="1" applyFont="1" applyNumberFormat="1">
      <alignment readingOrder="0" vertical="center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9" xfId="0" applyAlignment="1" applyBorder="1" applyFont="1" applyNumberFormat="1">
      <alignment horizontal="center" readingOrder="0" vertical="center"/>
    </xf>
    <xf borderId="1" fillId="9" fontId="1" numFmtId="164" xfId="0" applyAlignment="1" applyBorder="1" applyFont="1" applyNumberFormat="1">
      <alignment horizontal="center" vertical="center"/>
    </xf>
    <xf borderId="1" fillId="13" fontId="1" numFmtId="164" xfId="0" applyAlignment="1" applyBorder="1" applyFill="1" applyFont="1" applyNumberFormat="1">
      <alignment horizontal="center" vertical="center"/>
    </xf>
    <xf borderId="1" fillId="11" fontId="1" numFmtId="164" xfId="0" applyAlignment="1" applyBorder="1" applyFont="1" applyNumberFormat="1">
      <alignment horizontal="center" vertical="center"/>
    </xf>
    <xf borderId="1" fillId="14" fontId="5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67" xfId="0" applyAlignment="1" applyBorder="1" applyFont="1" applyNumberFormat="1">
      <alignment horizontal="center" readingOrder="0" vertical="center"/>
    </xf>
    <xf borderId="1" fillId="15" fontId="5" numFmtId="0" xfId="0" applyAlignment="1" applyBorder="1" applyFill="1" applyFont="1">
      <alignment horizontal="center" readingOrder="0" vertical="center"/>
    </xf>
    <xf borderId="1" fillId="11" fontId="1" numFmtId="164" xfId="0" applyAlignment="1" applyBorder="1" applyFont="1" applyNumberFormat="1">
      <alignment horizontal="center" readingOrder="0" vertical="center"/>
    </xf>
    <xf borderId="1" fillId="16" fontId="5" numFmtId="0" xfId="0" applyAlignment="1" applyBorder="1" applyFill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17" fontId="5" numFmtId="0" xfId="0" applyAlignment="1" applyBorder="1" applyFill="1" applyFont="1">
      <alignment horizontal="center" readingOrder="0" vertical="center"/>
    </xf>
    <xf borderId="1" fillId="4" fontId="1" numFmtId="168" xfId="0" applyAlignment="1" applyBorder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1" fillId="11" fontId="1" numFmtId="164" xfId="0" applyAlignment="1" applyBorder="1" applyFont="1" applyNumberFormat="1">
      <alignment horizontal="center" shrinkToFit="0" vertical="center" wrapText="1"/>
    </xf>
    <xf borderId="1" fillId="18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1" fillId="18" fontId="6" numFmtId="0" xfId="0" applyAlignment="1" applyBorder="1" applyFont="1">
      <alignment vertical="center"/>
    </xf>
    <xf borderId="1" fillId="18" fontId="6" numFmtId="166" xfId="0" applyAlignment="1" applyBorder="1" applyFont="1" applyNumberFormat="1">
      <alignment horizontal="right" vertical="center"/>
    </xf>
    <xf borderId="1" fillId="0" fontId="8" numFmtId="0" xfId="0" applyAlignment="1" applyBorder="1" applyFont="1">
      <alignment vertical="center"/>
    </xf>
    <xf borderId="1" fillId="0" fontId="8" numFmtId="166" xfId="0" applyAlignment="1" applyBorder="1" applyFont="1" applyNumberFormat="1">
      <alignment horizontal="right" readingOrder="0" vertical="center"/>
    </xf>
    <xf borderId="1" fillId="19" fontId="6" numFmtId="0" xfId="0" applyAlignment="1" applyBorder="1" applyFill="1" applyFont="1">
      <alignment vertical="center"/>
    </xf>
    <xf borderId="1" fillId="19" fontId="6" numFmtId="166" xfId="0" applyAlignment="1" applyBorder="1" applyFont="1" applyNumberFormat="1">
      <alignment horizontal="right" vertical="center"/>
    </xf>
    <xf borderId="1" fillId="20" fontId="6" numFmtId="0" xfId="0" applyAlignment="1" applyBorder="1" applyFill="1" applyFont="1">
      <alignment vertical="center"/>
    </xf>
    <xf borderId="1" fillId="20" fontId="6" numFmtId="166" xfId="0" applyAlignment="1" applyBorder="1" applyFont="1" applyNumberFormat="1">
      <alignment horizontal="right" vertical="center"/>
    </xf>
    <xf borderId="1" fillId="0" fontId="8" numFmtId="166" xfId="0" applyAlignment="1" applyBorder="1" applyFont="1" applyNumberFormat="1">
      <alignment horizontal="right" vertical="center"/>
    </xf>
    <xf borderId="1" fillId="21" fontId="6" numFmtId="0" xfId="0" applyAlignment="1" applyBorder="1" applyFill="1" applyFont="1">
      <alignment vertical="center"/>
    </xf>
    <xf borderId="1" fillId="21" fontId="6" numFmtId="166" xfId="0" applyAlignment="1" applyBorder="1" applyFont="1" applyNumberFormat="1">
      <alignment horizontal="right" vertical="center"/>
    </xf>
    <xf borderId="1" fillId="20" fontId="1" numFmtId="0" xfId="0" applyAlignment="1" applyBorder="1" applyFont="1">
      <alignment horizontal="center" readingOrder="0" vertical="center"/>
    </xf>
    <xf borderId="1" fillId="20" fontId="1" numFmtId="0" xfId="0" applyAlignment="1" applyBorder="1" applyFont="1">
      <alignment horizontal="center" shrinkToFit="0" vertical="center" wrapText="1"/>
    </xf>
    <xf borderId="1" fillId="20" fontId="1" numFmtId="0" xfId="0" applyAlignment="1" applyBorder="1" applyFont="1">
      <alignment horizontal="center" readingOrder="0" shrinkToFit="0" vertical="center" wrapText="1"/>
    </xf>
    <xf borderId="1" fillId="22" fontId="1" numFmtId="0" xfId="0" applyAlignment="1" applyBorder="1" applyFill="1" applyFont="1">
      <alignment horizontal="center" readingOrder="0" shrinkToFit="0" vertical="center" wrapText="1"/>
    </xf>
    <xf borderId="1" fillId="23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24" fontId="1" numFmtId="0" xfId="0" applyAlignment="1" applyBorder="1" applyFill="1" applyFont="1">
      <alignment horizontal="center" vertical="center"/>
    </xf>
    <xf borderId="1" fillId="22" fontId="2" numFmtId="0" xfId="0" applyAlignment="1" applyBorder="1" applyFont="1">
      <alignment horizontal="center" readingOrder="0" vertical="center"/>
    </xf>
    <xf borderId="1" fillId="25" fontId="1" numFmtId="0" xfId="0" applyAlignment="1" applyBorder="1" applyFill="1" applyFont="1">
      <alignment horizontal="center" vertical="center"/>
    </xf>
    <xf borderId="1" fillId="25" fontId="1" numFmtId="168" xfId="0" applyAlignment="1" applyBorder="1" applyFont="1" applyNumberFormat="1">
      <alignment horizontal="center" vertical="center"/>
    </xf>
    <xf borderId="1" fillId="26" fontId="1" numFmtId="0" xfId="0" applyAlignment="1" applyBorder="1" applyFill="1" applyFont="1">
      <alignment horizontal="center" vertical="center"/>
    </xf>
    <xf borderId="1" fillId="26" fontId="1" numFmtId="168" xfId="0" applyAlignment="1" applyBorder="1" applyFont="1" applyNumberFormat="1">
      <alignment horizontal="center" vertical="center"/>
    </xf>
    <xf borderId="0" fillId="0" fontId="9" numFmtId="0" xfId="0" applyFont="1"/>
    <xf borderId="1" fillId="23" fontId="1" numFmtId="168" xfId="0" applyAlignment="1" applyBorder="1" applyFont="1" applyNumberFormat="1">
      <alignment horizontal="center" vertical="center"/>
    </xf>
    <xf borderId="2" fillId="20" fontId="1" numFmtId="0" xfId="0" applyAlignment="1" applyBorder="1" applyFont="1">
      <alignment horizontal="center" vertical="center"/>
    </xf>
    <xf borderId="1" fillId="0" fontId="2" numFmtId="168" xfId="0" applyAlignment="1" applyBorder="1" applyFont="1" applyNumberFormat="1">
      <alignment horizontal="center" vertical="center"/>
    </xf>
    <xf borderId="1" fillId="0" fontId="1" numFmtId="168" xfId="0" applyAlignment="1" applyBorder="1" applyFont="1" applyNumberFormat="1">
      <alignment horizontal="center" vertical="center"/>
    </xf>
    <xf borderId="1" fillId="24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43.25"/>
    <col customWidth="1" min="3" max="3" width="16.38"/>
    <col customWidth="1" min="4" max="4" width="43.88"/>
    <col customWidth="1" min="5" max="5" width="13.13"/>
    <col customWidth="1" min="6" max="6" width="15.25"/>
    <col customWidth="1" min="7" max="7" width="14.25"/>
    <col customWidth="1" min="8" max="8" width="13.38"/>
    <col customWidth="1" min="9" max="9" width="13.13"/>
    <col customWidth="1" min="10" max="10" width="16.75"/>
    <col customWidth="1" min="11" max="11" width="14.5"/>
    <col customWidth="1" min="12" max="12" width="18.5"/>
    <col customWidth="1" min="13" max="13" width="14.25"/>
    <col customWidth="1" min="14" max="15" width="13.13"/>
    <col customWidth="1" min="16" max="16" width="14.25"/>
    <col customWidth="1" min="17" max="18" width="12.0"/>
    <col customWidth="1" min="19" max="20" width="10.88"/>
    <col customWidth="1" min="21" max="21" width="12.0"/>
    <col customWidth="1" min="22" max="23" width="10.88"/>
    <col customWidth="1" min="24" max="24" width="12.0"/>
    <col customWidth="1" min="25" max="25" width="14.13"/>
    <col customWidth="1" min="26" max="26" width="15.75"/>
    <col customWidth="1" min="27" max="27" width="7.63"/>
  </cols>
  <sheetData>
    <row r="1" ht="36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>
        <v>0.4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6" t="s">
        <v>24</v>
      </c>
      <c r="AA1" s="7"/>
    </row>
    <row r="2" ht="21.0" customHeight="1">
      <c r="A2" s="8" t="s">
        <v>25</v>
      </c>
      <c r="B2" s="9" t="s">
        <v>26</v>
      </c>
      <c r="C2" s="10"/>
      <c r="D2" s="9" t="s">
        <v>27</v>
      </c>
      <c r="E2" s="11">
        <v>44807.0</v>
      </c>
      <c r="F2" s="12">
        <v>2980.0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3">
        <f t="shared" ref="L2:L136" si="1">F2+SUM(G2:K2)</f>
        <v>2980</v>
      </c>
      <c r="M2" s="12">
        <f t="shared" ref="M2:M136" si="2"> L2 * 20%</f>
        <v>596</v>
      </c>
      <c r="N2" s="12">
        <f t="shared" ref="N2:N136" si="3"> F2 * 1%</f>
        <v>29.8</v>
      </c>
      <c r="O2" s="12">
        <f t="shared" ref="O2:O136" si="4">F2*1.5%</f>
        <v>44.7</v>
      </c>
      <c r="P2" s="12">
        <f t="shared" ref="P2:P136" si="5"> L2 * 8%</f>
        <v>238.4</v>
      </c>
      <c r="Q2" s="12">
        <f t="shared" ref="Q2:Q136" si="6">F2*8.33%</f>
        <v>248.234</v>
      </c>
      <c r="R2" s="12">
        <f t="shared" ref="R2:R136" si="7">Q2/3</f>
        <v>82.74466667</v>
      </c>
      <c r="S2" s="12">
        <f t="shared" ref="S2:S136" si="8">( Q2 + R2 ) * 8%</f>
        <v>26.47829333</v>
      </c>
      <c r="T2" s="12">
        <f t="shared" ref="T2:T136" si="9">( Q2 + R2 ) * 20%</f>
        <v>66.19573333</v>
      </c>
      <c r="U2" s="12">
        <f t="shared" ref="U2:U136" si="10"> F2*8.33%</f>
        <v>248.234</v>
      </c>
      <c r="V2" s="12">
        <f t="shared" ref="V2:V136" si="11"> U2 * 8%</f>
        <v>19.85872</v>
      </c>
      <c r="W2" s="12">
        <f t="shared" ref="W2:W136" si="12"> U2 * 20%</f>
        <v>49.6468</v>
      </c>
      <c r="X2" s="12">
        <f t="shared" ref="X2:X136" si="13">IF(F2=0, 0, 220 - (F2 * 6%))</f>
        <v>41.2</v>
      </c>
      <c r="Y2" s="14">
        <f t="shared" ref="Y2:Y136" si="14">SUM(M2:X2)</f>
        <v>1691.492213</v>
      </c>
      <c r="Z2" s="15">
        <f t="shared" ref="Z2:Z136" si="15">L2+Y2</f>
        <v>4671.492213</v>
      </c>
      <c r="AA2" s="16"/>
    </row>
    <row r="3" ht="21.0" customHeight="1">
      <c r="A3" s="8" t="s">
        <v>25</v>
      </c>
      <c r="B3" s="9" t="s">
        <v>28</v>
      </c>
      <c r="C3" s="17"/>
      <c r="D3" s="9" t="s">
        <v>29</v>
      </c>
      <c r="E3" s="11">
        <v>44782.0</v>
      </c>
      <c r="F3" s="12">
        <v>2703.0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13">
        <f t="shared" si="1"/>
        <v>2703</v>
      </c>
      <c r="M3" s="12">
        <f t="shared" si="2"/>
        <v>540.6</v>
      </c>
      <c r="N3" s="12">
        <f t="shared" si="3"/>
        <v>27.03</v>
      </c>
      <c r="O3" s="12">
        <f t="shared" si="4"/>
        <v>40.545</v>
      </c>
      <c r="P3" s="12">
        <f t="shared" si="5"/>
        <v>216.24</v>
      </c>
      <c r="Q3" s="12">
        <f t="shared" si="6"/>
        <v>225.1599</v>
      </c>
      <c r="R3" s="12">
        <f t="shared" si="7"/>
        <v>75.0533</v>
      </c>
      <c r="S3" s="12">
        <f t="shared" si="8"/>
        <v>24.017056</v>
      </c>
      <c r="T3" s="12">
        <f t="shared" si="9"/>
        <v>60.04264</v>
      </c>
      <c r="U3" s="12">
        <f t="shared" si="10"/>
        <v>225.1599</v>
      </c>
      <c r="V3" s="12">
        <f t="shared" si="11"/>
        <v>18.012792</v>
      </c>
      <c r="W3" s="12">
        <f t="shared" si="12"/>
        <v>45.03198</v>
      </c>
      <c r="X3" s="12">
        <f t="shared" si="13"/>
        <v>57.82</v>
      </c>
      <c r="Y3" s="14">
        <f t="shared" si="14"/>
        <v>1554.712568</v>
      </c>
      <c r="Z3" s="15">
        <f t="shared" si="15"/>
        <v>4257.712568</v>
      </c>
      <c r="AA3" s="18"/>
    </row>
    <row r="4" ht="21.0" customHeight="1">
      <c r="A4" s="8" t="s">
        <v>25</v>
      </c>
      <c r="B4" s="9" t="s">
        <v>28</v>
      </c>
      <c r="C4" s="17"/>
      <c r="D4" s="9" t="s">
        <v>30</v>
      </c>
      <c r="E4" s="11">
        <v>44775.0</v>
      </c>
      <c r="F4" s="12">
        <v>2703.0</v>
      </c>
      <c r="G4" s="12">
        <v>0.0</v>
      </c>
      <c r="H4" s="12">
        <v>0.0</v>
      </c>
      <c r="I4" s="12">
        <v>0.0</v>
      </c>
      <c r="J4" s="12">
        <v>0.0</v>
      </c>
      <c r="K4" s="12">
        <v>0.0</v>
      </c>
      <c r="L4" s="13">
        <f t="shared" si="1"/>
        <v>2703</v>
      </c>
      <c r="M4" s="12">
        <f t="shared" si="2"/>
        <v>540.6</v>
      </c>
      <c r="N4" s="12">
        <f t="shared" si="3"/>
        <v>27.03</v>
      </c>
      <c r="O4" s="12">
        <f t="shared" si="4"/>
        <v>40.545</v>
      </c>
      <c r="P4" s="12">
        <f t="shared" si="5"/>
        <v>216.24</v>
      </c>
      <c r="Q4" s="12">
        <f t="shared" si="6"/>
        <v>225.1599</v>
      </c>
      <c r="R4" s="12">
        <f t="shared" si="7"/>
        <v>75.0533</v>
      </c>
      <c r="S4" s="12">
        <f t="shared" si="8"/>
        <v>24.017056</v>
      </c>
      <c r="T4" s="12">
        <f t="shared" si="9"/>
        <v>60.04264</v>
      </c>
      <c r="U4" s="12">
        <f t="shared" si="10"/>
        <v>225.1599</v>
      </c>
      <c r="V4" s="12">
        <f t="shared" si="11"/>
        <v>18.012792</v>
      </c>
      <c r="W4" s="12">
        <f t="shared" si="12"/>
        <v>45.03198</v>
      </c>
      <c r="X4" s="12">
        <f t="shared" si="13"/>
        <v>57.82</v>
      </c>
      <c r="Y4" s="14">
        <f t="shared" si="14"/>
        <v>1554.712568</v>
      </c>
      <c r="Z4" s="15">
        <f t="shared" si="15"/>
        <v>4257.712568</v>
      </c>
      <c r="AA4" s="18"/>
    </row>
    <row r="5" ht="21.0" customHeight="1">
      <c r="A5" s="8" t="s">
        <v>25</v>
      </c>
      <c r="B5" s="9" t="s">
        <v>31</v>
      </c>
      <c r="C5" s="17"/>
      <c r="D5" s="9" t="s">
        <v>32</v>
      </c>
      <c r="E5" s="11">
        <v>44954.0</v>
      </c>
      <c r="F5" s="12">
        <v>2190.0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3">
        <f t="shared" si="1"/>
        <v>2190</v>
      </c>
      <c r="M5" s="12">
        <f t="shared" si="2"/>
        <v>438</v>
      </c>
      <c r="N5" s="12">
        <f t="shared" si="3"/>
        <v>21.9</v>
      </c>
      <c r="O5" s="12">
        <f t="shared" si="4"/>
        <v>32.85</v>
      </c>
      <c r="P5" s="12">
        <f t="shared" si="5"/>
        <v>175.2</v>
      </c>
      <c r="Q5" s="12">
        <f t="shared" si="6"/>
        <v>182.427</v>
      </c>
      <c r="R5" s="12">
        <f t="shared" si="7"/>
        <v>60.809</v>
      </c>
      <c r="S5" s="12">
        <f t="shared" si="8"/>
        <v>19.45888</v>
      </c>
      <c r="T5" s="12">
        <f t="shared" si="9"/>
        <v>48.6472</v>
      </c>
      <c r="U5" s="12">
        <f t="shared" si="10"/>
        <v>182.427</v>
      </c>
      <c r="V5" s="12">
        <f t="shared" si="11"/>
        <v>14.59416</v>
      </c>
      <c r="W5" s="12">
        <f t="shared" si="12"/>
        <v>36.4854</v>
      </c>
      <c r="X5" s="12">
        <f t="shared" si="13"/>
        <v>88.6</v>
      </c>
      <c r="Y5" s="14">
        <f t="shared" si="14"/>
        <v>1301.39864</v>
      </c>
      <c r="Z5" s="15">
        <f t="shared" si="15"/>
        <v>3491.39864</v>
      </c>
      <c r="AA5" s="18"/>
    </row>
    <row r="6" ht="21.0" customHeight="1">
      <c r="A6" s="8" t="s">
        <v>25</v>
      </c>
      <c r="B6" s="9" t="s">
        <v>31</v>
      </c>
      <c r="C6" s="17"/>
      <c r="D6" s="9" t="s">
        <v>33</v>
      </c>
      <c r="E6" s="11">
        <v>45485.0</v>
      </c>
      <c r="F6" s="12">
        <v>2190.0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3">
        <f t="shared" si="1"/>
        <v>2190</v>
      </c>
      <c r="M6" s="12">
        <f t="shared" si="2"/>
        <v>438</v>
      </c>
      <c r="N6" s="12">
        <f t="shared" si="3"/>
        <v>21.9</v>
      </c>
      <c r="O6" s="12">
        <f t="shared" si="4"/>
        <v>32.85</v>
      </c>
      <c r="P6" s="12">
        <f t="shared" si="5"/>
        <v>175.2</v>
      </c>
      <c r="Q6" s="12">
        <f t="shared" si="6"/>
        <v>182.427</v>
      </c>
      <c r="R6" s="12">
        <f t="shared" si="7"/>
        <v>60.809</v>
      </c>
      <c r="S6" s="12">
        <f t="shared" si="8"/>
        <v>19.45888</v>
      </c>
      <c r="T6" s="12">
        <f t="shared" si="9"/>
        <v>48.6472</v>
      </c>
      <c r="U6" s="12">
        <f t="shared" si="10"/>
        <v>182.427</v>
      </c>
      <c r="V6" s="12">
        <f t="shared" si="11"/>
        <v>14.59416</v>
      </c>
      <c r="W6" s="12">
        <f t="shared" si="12"/>
        <v>36.4854</v>
      </c>
      <c r="X6" s="12">
        <f t="shared" si="13"/>
        <v>88.6</v>
      </c>
      <c r="Y6" s="14">
        <f t="shared" si="14"/>
        <v>1301.39864</v>
      </c>
      <c r="Z6" s="15">
        <f t="shared" si="15"/>
        <v>3491.39864</v>
      </c>
      <c r="AA6" s="18"/>
    </row>
    <row r="7" ht="21.0" customHeight="1">
      <c r="A7" s="8" t="s">
        <v>25</v>
      </c>
      <c r="B7" s="9" t="s">
        <v>31</v>
      </c>
      <c r="C7" s="17"/>
      <c r="D7" s="9" t="s">
        <v>34</v>
      </c>
      <c r="E7" s="11">
        <v>45485.0</v>
      </c>
      <c r="F7" s="12">
        <v>2190.0</v>
      </c>
      <c r="G7" s="12">
        <v>0.0</v>
      </c>
      <c r="H7" s="12">
        <v>0.0</v>
      </c>
      <c r="I7" s="12">
        <f>F7*10%</f>
        <v>219</v>
      </c>
      <c r="J7" s="12">
        <v>0.0</v>
      </c>
      <c r="K7" s="12">
        <v>0.0</v>
      </c>
      <c r="L7" s="13">
        <f t="shared" si="1"/>
        <v>2409</v>
      </c>
      <c r="M7" s="12">
        <f t="shared" si="2"/>
        <v>481.8</v>
      </c>
      <c r="N7" s="12">
        <f t="shared" si="3"/>
        <v>21.9</v>
      </c>
      <c r="O7" s="12">
        <f t="shared" si="4"/>
        <v>32.85</v>
      </c>
      <c r="P7" s="12">
        <f t="shared" si="5"/>
        <v>192.72</v>
      </c>
      <c r="Q7" s="12">
        <f t="shared" si="6"/>
        <v>182.427</v>
      </c>
      <c r="R7" s="12">
        <f t="shared" si="7"/>
        <v>60.809</v>
      </c>
      <c r="S7" s="12">
        <f t="shared" si="8"/>
        <v>19.45888</v>
      </c>
      <c r="T7" s="12">
        <f t="shared" si="9"/>
        <v>48.6472</v>
      </c>
      <c r="U7" s="12">
        <f t="shared" si="10"/>
        <v>182.427</v>
      </c>
      <c r="V7" s="12">
        <f t="shared" si="11"/>
        <v>14.59416</v>
      </c>
      <c r="W7" s="12">
        <f t="shared" si="12"/>
        <v>36.4854</v>
      </c>
      <c r="X7" s="12">
        <f t="shared" si="13"/>
        <v>88.6</v>
      </c>
      <c r="Y7" s="14">
        <f t="shared" si="14"/>
        <v>1362.71864</v>
      </c>
      <c r="Z7" s="15">
        <f t="shared" si="15"/>
        <v>3771.71864</v>
      </c>
      <c r="AA7" s="18"/>
    </row>
    <row r="8" ht="21.0" customHeight="1">
      <c r="A8" s="8" t="s">
        <v>25</v>
      </c>
      <c r="B8" s="9" t="s">
        <v>31</v>
      </c>
      <c r="C8" s="17"/>
      <c r="D8" s="9" t="s">
        <v>35</v>
      </c>
      <c r="E8" s="11">
        <v>45505.0</v>
      </c>
      <c r="F8" s="12">
        <v>2190.0</v>
      </c>
      <c r="G8" s="12">
        <v>0.0</v>
      </c>
      <c r="H8" s="12">
        <v>0.0</v>
      </c>
      <c r="I8" s="12">
        <v>0.0</v>
      </c>
      <c r="J8" s="12">
        <v>0.0</v>
      </c>
      <c r="K8" s="12">
        <v>0.0</v>
      </c>
      <c r="L8" s="13">
        <f t="shared" si="1"/>
        <v>2190</v>
      </c>
      <c r="M8" s="12">
        <f t="shared" si="2"/>
        <v>438</v>
      </c>
      <c r="N8" s="12">
        <f t="shared" si="3"/>
        <v>21.9</v>
      </c>
      <c r="O8" s="12">
        <f t="shared" si="4"/>
        <v>32.85</v>
      </c>
      <c r="P8" s="12">
        <f t="shared" si="5"/>
        <v>175.2</v>
      </c>
      <c r="Q8" s="12">
        <f t="shared" si="6"/>
        <v>182.427</v>
      </c>
      <c r="R8" s="12">
        <f t="shared" si="7"/>
        <v>60.809</v>
      </c>
      <c r="S8" s="12">
        <f t="shared" si="8"/>
        <v>19.45888</v>
      </c>
      <c r="T8" s="12">
        <f t="shared" si="9"/>
        <v>48.6472</v>
      </c>
      <c r="U8" s="12">
        <f t="shared" si="10"/>
        <v>182.427</v>
      </c>
      <c r="V8" s="12">
        <f t="shared" si="11"/>
        <v>14.59416</v>
      </c>
      <c r="W8" s="12">
        <f t="shared" si="12"/>
        <v>36.4854</v>
      </c>
      <c r="X8" s="12">
        <f t="shared" si="13"/>
        <v>88.6</v>
      </c>
      <c r="Y8" s="14">
        <f t="shared" si="14"/>
        <v>1301.39864</v>
      </c>
      <c r="Z8" s="15">
        <f t="shared" si="15"/>
        <v>3491.39864</v>
      </c>
      <c r="AA8" s="18"/>
    </row>
    <row r="9" ht="21.0" customHeight="1">
      <c r="A9" s="8" t="s">
        <v>25</v>
      </c>
      <c r="B9" s="9" t="s">
        <v>31</v>
      </c>
      <c r="C9" s="17"/>
      <c r="D9" s="9" t="s">
        <v>36</v>
      </c>
      <c r="E9" s="11">
        <v>45582.0</v>
      </c>
      <c r="F9" s="12">
        <v>2190.0</v>
      </c>
      <c r="G9" s="12">
        <v>0.0</v>
      </c>
      <c r="H9" s="12">
        <v>0.0</v>
      </c>
      <c r="I9" s="12">
        <v>0.0</v>
      </c>
      <c r="J9" s="12">
        <v>0.0</v>
      </c>
      <c r="K9" s="12">
        <v>0.0</v>
      </c>
      <c r="L9" s="13">
        <f t="shared" si="1"/>
        <v>2190</v>
      </c>
      <c r="M9" s="12">
        <f t="shared" si="2"/>
        <v>438</v>
      </c>
      <c r="N9" s="12">
        <f t="shared" si="3"/>
        <v>21.9</v>
      </c>
      <c r="O9" s="12">
        <f t="shared" si="4"/>
        <v>32.85</v>
      </c>
      <c r="P9" s="12">
        <f t="shared" si="5"/>
        <v>175.2</v>
      </c>
      <c r="Q9" s="12">
        <f t="shared" si="6"/>
        <v>182.427</v>
      </c>
      <c r="R9" s="12">
        <f t="shared" si="7"/>
        <v>60.809</v>
      </c>
      <c r="S9" s="12">
        <f t="shared" si="8"/>
        <v>19.45888</v>
      </c>
      <c r="T9" s="12">
        <f t="shared" si="9"/>
        <v>48.6472</v>
      </c>
      <c r="U9" s="12">
        <f t="shared" si="10"/>
        <v>182.427</v>
      </c>
      <c r="V9" s="12">
        <f t="shared" si="11"/>
        <v>14.59416</v>
      </c>
      <c r="W9" s="12">
        <f t="shared" si="12"/>
        <v>36.4854</v>
      </c>
      <c r="X9" s="12">
        <f t="shared" si="13"/>
        <v>88.6</v>
      </c>
      <c r="Y9" s="14">
        <f t="shared" si="14"/>
        <v>1301.39864</v>
      </c>
      <c r="Z9" s="15">
        <f t="shared" si="15"/>
        <v>3491.39864</v>
      </c>
      <c r="AA9" s="18"/>
    </row>
    <row r="10" ht="21.0" customHeight="1">
      <c r="A10" s="8" t="s">
        <v>25</v>
      </c>
      <c r="B10" s="19" t="s">
        <v>31</v>
      </c>
      <c r="C10" s="17"/>
      <c r="D10" s="9" t="s">
        <v>37</v>
      </c>
      <c r="E10" s="11">
        <v>45755.0</v>
      </c>
      <c r="F10" s="12">
        <v>2800.0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3">
        <f t="shared" si="1"/>
        <v>2800</v>
      </c>
      <c r="M10" s="12">
        <f t="shared" si="2"/>
        <v>560</v>
      </c>
      <c r="N10" s="12">
        <f t="shared" si="3"/>
        <v>28</v>
      </c>
      <c r="O10" s="12">
        <f t="shared" si="4"/>
        <v>42</v>
      </c>
      <c r="P10" s="12">
        <f t="shared" si="5"/>
        <v>224</v>
      </c>
      <c r="Q10" s="12">
        <f t="shared" si="6"/>
        <v>233.24</v>
      </c>
      <c r="R10" s="12">
        <f t="shared" si="7"/>
        <v>77.74666667</v>
      </c>
      <c r="S10" s="12">
        <f t="shared" si="8"/>
        <v>24.87893333</v>
      </c>
      <c r="T10" s="12">
        <f t="shared" si="9"/>
        <v>62.19733333</v>
      </c>
      <c r="U10" s="12">
        <f t="shared" si="10"/>
        <v>233.24</v>
      </c>
      <c r="V10" s="12">
        <f t="shared" si="11"/>
        <v>18.6592</v>
      </c>
      <c r="W10" s="12">
        <f t="shared" si="12"/>
        <v>46.648</v>
      </c>
      <c r="X10" s="12">
        <f t="shared" si="13"/>
        <v>52</v>
      </c>
      <c r="Y10" s="14">
        <f t="shared" si="14"/>
        <v>1602.610133</v>
      </c>
      <c r="Z10" s="15">
        <f t="shared" si="15"/>
        <v>4402.610133</v>
      </c>
      <c r="AA10" s="18"/>
    </row>
    <row r="11" ht="21.0" customHeight="1">
      <c r="A11" s="8" t="s">
        <v>38</v>
      </c>
      <c r="B11" s="9" t="s">
        <v>39</v>
      </c>
      <c r="C11" s="17"/>
      <c r="D11" s="9" t="s">
        <v>40</v>
      </c>
      <c r="E11" s="11">
        <v>43117.0</v>
      </c>
      <c r="F11" s="20">
        <v>2190.0</v>
      </c>
      <c r="G11" s="12">
        <v>0.0</v>
      </c>
      <c r="H11" s="12">
        <v>0.0</v>
      </c>
      <c r="I11" s="12">
        <v>0.0</v>
      </c>
      <c r="J11" s="12">
        <v>0.0</v>
      </c>
      <c r="K11" s="12">
        <f>F11*2%</f>
        <v>43.8</v>
      </c>
      <c r="L11" s="13">
        <f t="shared" si="1"/>
        <v>2233.8</v>
      </c>
      <c r="M11" s="12">
        <f t="shared" si="2"/>
        <v>446.76</v>
      </c>
      <c r="N11" s="12">
        <f t="shared" si="3"/>
        <v>21.9</v>
      </c>
      <c r="O11" s="12">
        <f t="shared" si="4"/>
        <v>32.85</v>
      </c>
      <c r="P11" s="12">
        <f t="shared" si="5"/>
        <v>178.704</v>
      </c>
      <c r="Q11" s="12">
        <f t="shared" si="6"/>
        <v>182.427</v>
      </c>
      <c r="R11" s="12">
        <f t="shared" si="7"/>
        <v>60.809</v>
      </c>
      <c r="S11" s="12">
        <f t="shared" si="8"/>
        <v>19.45888</v>
      </c>
      <c r="T11" s="12">
        <f t="shared" si="9"/>
        <v>48.6472</v>
      </c>
      <c r="U11" s="12">
        <f t="shared" si="10"/>
        <v>182.427</v>
      </c>
      <c r="V11" s="12">
        <f t="shared" si="11"/>
        <v>14.59416</v>
      </c>
      <c r="W11" s="12">
        <f t="shared" si="12"/>
        <v>36.4854</v>
      </c>
      <c r="X11" s="12">
        <f t="shared" si="13"/>
        <v>88.6</v>
      </c>
      <c r="Y11" s="14">
        <f t="shared" si="14"/>
        <v>1313.66264</v>
      </c>
      <c r="Z11" s="15">
        <f t="shared" si="15"/>
        <v>3547.46264</v>
      </c>
      <c r="AA11" s="18"/>
    </row>
    <row r="12" ht="21.0" customHeight="1">
      <c r="A12" s="8" t="s">
        <v>38</v>
      </c>
      <c r="B12" s="9" t="s">
        <v>41</v>
      </c>
      <c r="C12" s="17"/>
      <c r="D12" s="9" t="s">
        <v>42</v>
      </c>
      <c r="E12" s="11">
        <v>44867.0</v>
      </c>
      <c r="F12" s="20">
        <v>2190.0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3">
        <f t="shared" si="1"/>
        <v>2190</v>
      </c>
      <c r="M12" s="12">
        <f t="shared" si="2"/>
        <v>438</v>
      </c>
      <c r="N12" s="12">
        <f t="shared" si="3"/>
        <v>21.9</v>
      </c>
      <c r="O12" s="12">
        <f t="shared" si="4"/>
        <v>32.85</v>
      </c>
      <c r="P12" s="12">
        <f t="shared" si="5"/>
        <v>175.2</v>
      </c>
      <c r="Q12" s="12">
        <f t="shared" si="6"/>
        <v>182.427</v>
      </c>
      <c r="R12" s="12">
        <f t="shared" si="7"/>
        <v>60.809</v>
      </c>
      <c r="S12" s="12">
        <f t="shared" si="8"/>
        <v>19.45888</v>
      </c>
      <c r="T12" s="12">
        <f t="shared" si="9"/>
        <v>48.6472</v>
      </c>
      <c r="U12" s="12">
        <f t="shared" si="10"/>
        <v>182.427</v>
      </c>
      <c r="V12" s="12">
        <f t="shared" si="11"/>
        <v>14.59416</v>
      </c>
      <c r="W12" s="12">
        <f t="shared" si="12"/>
        <v>36.4854</v>
      </c>
      <c r="X12" s="12">
        <f t="shared" si="13"/>
        <v>88.6</v>
      </c>
      <c r="Y12" s="14">
        <f t="shared" si="14"/>
        <v>1301.39864</v>
      </c>
      <c r="Z12" s="15">
        <f t="shared" si="15"/>
        <v>3491.39864</v>
      </c>
      <c r="AA12" s="18"/>
    </row>
    <row r="13" ht="21.0" customHeight="1">
      <c r="A13" s="8" t="s">
        <v>38</v>
      </c>
      <c r="B13" s="9" t="s">
        <v>41</v>
      </c>
      <c r="C13" s="17"/>
      <c r="D13" s="9" t="s">
        <v>43</v>
      </c>
      <c r="E13" s="11">
        <v>45616.0</v>
      </c>
      <c r="F13" s="20">
        <v>2190.0</v>
      </c>
      <c r="G13" s="12">
        <v>0.0</v>
      </c>
      <c r="H13" s="12">
        <v>0.0</v>
      </c>
      <c r="I13" s="12">
        <v>0.0</v>
      </c>
      <c r="J13" s="12">
        <v>0.0</v>
      </c>
      <c r="K13" s="12">
        <v>0.0</v>
      </c>
      <c r="L13" s="13">
        <f t="shared" si="1"/>
        <v>2190</v>
      </c>
      <c r="M13" s="12">
        <f t="shared" si="2"/>
        <v>438</v>
      </c>
      <c r="N13" s="12">
        <f t="shared" si="3"/>
        <v>21.9</v>
      </c>
      <c r="O13" s="12">
        <f t="shared" si="4"/>
        <v>32.85</v>
      </c>
      <c r="P13" s="12">
        <f t="shared" si="5"/>
        <v>175.2</v>
      </c>
      <c r="Q13" s="12">
        <f t="shared" si="6"/>
        <v>182.427</v>
      </c>
      <c r="R13" s="12">
        <f t="shared" si="7"/>
        <v>60.809</v>
      </c>
      <c r="S13" s="12">
        <f t="shared" si="8"/>
        <v>19.45888</v>
      </c>
      <c r="T13" s="12">
        <f t="shared" si="9"/>
        <v>48.6472</v>
      </c>
      <c r="U13" s="12">
        <f t="shared" si="10"/>
        <v>182.427</v>
      </c>
      <c r="V13" s="12">
        <f t="shared" si="11"/>
        <v>14.59416</v>
      </c>
      <c r="W13" s="12">
        <f t="shared" si="12"/>
        <v>36.4854</v>
      </c>
      <c r="X13" s="12">
        <f t="shared" si="13"/>
        <v>88.6</v>
      </c>
      <c r="Y13" s="14">
        <f t="shared" si="14"/>
        <v>1301.39864</v>
      </c>
      <c r="Z13" s="15">
        <f t="shared" si="15"/>
        <v>3491.39864</v>
      </c>
      <c r="AA13" s="18"/>
    </row>
    <row r="14" ht="21.0" customHeight="1">
      <c r="A14" s="8" t="s">
        <v>38</v>
      </c>
      <c r="B14" s="9" t="s">
        <v>44</v>
      </c>
      <c r="C14" s="17"/>
      <c r="D14" s="9" t="s">
        <v>45</v>
      </c>
      <c r="E14" s="11">
        <v>45087.0</v>
      </c>
      <c r="F14" s="20">
        <v>2190.0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3">
        <f t="shared" si="1"/>
        <v>2190</v>
      </c>
      <c r="M14" s="12">
        <f t="shared" si="2"/>
        <v>438</v>
      </c>
      <c r="N14" s="12">
        <f t="shared" si="3"/>
        <v>21.9</v>
      </c>
      <c r="O14" s="12">
        <f t="shared" si="4"/>
        <v>32.85</v>
      </c>
      <c r="P14" s="12">
        <f t="shared" si="5"/>
        <v>175.2</v>
      </c>
      <c r="Q14" s="12">
        <f t="shared" si="6"/>
        <v>182.427</v>
      </c>
      <c r="R14" s="12">
        <f t="shared" si="7"/>
        <v>60.809</v>
      </c>
      <c r="S14" s="12">
        <f t="shared" si="8"/>
        <v>19.45888</v>
      </c>
      <c r="T14" s="12">
        <f t="shared" si="9"/>
        <v>48.6472</v>
      </c>
      <c r="U14" s="12">
        <f t="shared" si="10"/>
        <v>182.427</v>
      </c>
      <c r="V14" s="12">
        <f t="shared" si="11"/>
        <v>14.59416</v>
      </c>
      <c r="W14" s="12">
        <f t="shared" si="12"/>
        <v>36.4854</v>
      </c>
      <c r="X14" s="12">
        <f t="shared" si="13"/>
        <v>88.6</v>
      </c>
      <c r="Y14" s="14">
        <f t="shared" si="14"/>
        <v>1301.39864</v>
      </c>
      <c r="Z14" s="15">
        <f t="shared" si="15"/>
        <v>3491.39864</v>
      </c>
      <c r="AA14" s="18"/>
    </row>
    <row r="15" ht="21.0" customHeight="1">
      <c r="A15" s="8" t="s">
        <v>46</v>
      </c>
      <c r="B15" s="9" t="s">
        <v>47</v>
      </c>
      <c r="C15" s="17"/>
      <c r="D15" s="9" t="s">
        <v>48</v>
      </c>
      <c r="E15" s="11">
        <v>43405.0</v>
      </c>
      <c r="F15" s="20">
        <v>3653.118</v>
      </c>
      <c r="G15" s="12">
        <f t="shared" ref="G15:G17" si="16">F15*40%</f>
        <v>1461.2472</v>
      </c>
      <c r="H15" s="12">
        <v>0.0</v>
      </c>
      <c r="I15" s="12">
        <f>F15*10%</f>
        <v>365.3118</v>
      </c>
      <c r="J15" s="12">
        <v>0.0</v>
      </c>
      <c r="K15" s="12">
        <f>F15*2%</f>
        <v>73.06236</v>
      </c>
      <c r="L15" s="13">
        <f t="shared" si="1"/>
        <v>5552.73936</v>
      </c>
      <c r="M15" s="12">
        <f t="shared" si="2"/>
        <v>1110.547872</v>
      </c>
      <c r="N15" s="12">
        <f t="shared" si="3"/>
        <v>36.53118</v>
      </c>
      <c r="O15" s="12">
        <f t="shared" si="4"/>
        <v>54.79677</v>
      </c>
      <c r="P15" s="12">
        <f t="shared" si="5"/>
        <v>444.2191488</v>
      </c>
      <c r="Q15" s="12">
        <f t="shared" si="6"/>
        <v>304.3047294</v>
      </c>
      <c r="R15" s="12">
        <f t="shared" si="7"/>
        <v>101.4349098</v>
      </c>
      <c r="S15" s="12">
        <f t="shared" si="8"/>
        <v>32.45917114</v>
      </c>
      <c r="T15" s="12">
        <f t="shared" si="9"/>
        <v>81.14792784</v>
      </c>
      <c r="U15" s="12">
        <f t="shared" si="10"/>
        <v>304.3047294</v>
      </c>
      <c r="V15" s="12">
        <f t="shared" si="11"/>
        <v>24.34437835</v>
      </c>
      <c r="W15" s="12">
        <f t="shared" si="12"/>
        <v>60.86094588</v>
      </c>
      <c r="X15" s="12">
        <f t="shared" si="13"/>
        <v>0.81292</v>
      </c>
      <c r="Y15" s="14">
        <f t="shared" si="14"/>
        <v>2555.764683</v>
      </c>
      <c r="Z15" s="15">
        <f t="shared" si="15"/>
        <v>8108.504043</v>
      </c>
      <c r="AA15" s="18"/>
    </row>
    <row r="16" ht="21.0" customHeight="1">
      <c r="A16" s="8" t="s">
        <v>49</v>
      </c>
      <c r="B16" s="9" t="s">
        <v>50</v>
      </c>
      <c r="C16" s="17"/>
      <c r="D16" s="9" t="s">
        <v>51</v>
      </c>
      <c r="E16" s="11">
        <v>45476.0</v>
      </c>
      <c r="F16" s="20">
        <v>2703.0</v>
      </c>
      <c r="G16" s="12">
        <f t="shared" si="16"/>
        <v>1081.2</v>
      </c>
      <c r="H16" s="12">
        <v>0.0</v>
      </c>
      <c r="I16" s="12">
        <f t="shared" ref="I16:I17" si="17">F16*20%</f>
        <v>540.6</v>
      </c>
      <c r="J16" s="12">
        <v>0.0</v>
      </c>
      <c r="K16" s="12">
        <v>0.0</v>
      </c>
      <c r="L16" s="13">
        <f t="shared" si="1"/>
        <v>4324.8</v>
      </c>
      <c r="M16" s="12">
        <f t="shared" si="2"/>
        <v>864.96</v>
      </c>
      <c r="N16" s="12">
        <f t="shared" si="3"/>
        <v>27.03</v>
      </c>
      <c r="O16" s="12">
        <f t="shared" si="4"/>
        <v>40.545</v>
      </c>
      <c r="P16" s="12">
        <f t="shared" si="5"/>
        <v>345.984</v>
      </c>
      <c r="Q16" s="12">
        <f t="shared" si="6"/>
        <v>225.1599</v>
      </c>
      <c r="R16" s="12">
        <f t="shared" si="7"/>
        <v>75.0533</v>
      </c>
      <c r="S16" s="12">
        <f t="shared" si="8"/>
        <v>24.017056</v>
      </c>
      <c r="T16" s="12">
        <f t="shared" si="9"/>
        <v>60.04264</v>
      </c>
      <c r="U16" s="12">
        <f t="shared" si="10"/>
        <v>225.1599</v>
      </c>
      <c r="V16" s="12">
        <f t="shared" si="11"/>
        <v>18.012792</v>
      </c>
      <c r="W16" s="12">
        <f t="shared" si="12"/>
        <v>45.03198</v>
      </c>
      <c r="X16" s="12">
        <f t="shared" si="13"/>
        <v>57.82</v>
      </c>
      <c r="Y16" s="14">
        <f t="shared" si="14"/>
        <v>2008.816568</v>
      </c>
      <c r="Z16" s="15">
        <f t="shared" si="15"/>
        <v>6333.616568</v>
      </c>
      <c r="AA16" s="18"/>
    </row>
    <row r="17" ht="21.0" customHeight="1">
      <c r="A17" s="8" t="s">
        <v>49</v>
      </c>
      <c r="B17" s="9" t="s">
        <v>52</v>
      </c>
      <c r="C17" s="17"/>
      <c r="D17" s="9" t="s">
        <v>53</v>
      </c>
      <c r="E17" s="11">
        <v>45451.0</v>
      </c>
      <c r="F17" s="20">
        <v>2703.0</v>
      </c>
      <c r="G17" s="12">
        <f t="shared" si="16"/>
        <v>1081.2</v>
      </c>
      <c r="H17" s="12">
        <v>0.0</v>
      </c>
      <c r="I17" s="12">
        <f t="shared" si="17"/>
        <v>540.6</v>
      </c>
      <c r="J17" s="12">
        <v>0.0</v>
      </c>
      <c r="K17" s="12">
        <v>0.0</v>
      </c>
      <c r="L17" s="13">
        <f t="shared" si="1"/>
        <v>4324.8</v>
      </c>
      <c r="M17" s="12">
        <f t="shared" si="2"/>
        <v>864.96</v>
      </c>
      <c r="N17" s="12">
        <f t="shared" si="3"/>
        <v>27.03</v>
      </c>
      <c r="O17" s="12">
        <f t="shared" si="4"/>
        <v>40.545</v>
      </c>
      <c r="P17" s="12">
        <f t="shared" si="5"/>
        <v>345.984</v>
      </c>
      <c r="Q17" s="12">
        <f t="shared" si="6"/>
        <v>225.1599</v>
      </c>
      <c r="R17" s="12">
        <f t="shared" si="7"/>
        <v>75.0533</v>
      </c>
      <c r="S17" s="12">
        <f t="shared" si="8"/>
        <v>24.017056</v>
      </c>
      <c r="T17" s="12">
        <f t="shared" si="9"/>
        <v>60.04264</v>
      </c>
      <c r="U17" s="12">
        <f t="shared" si="10"/>
        <v>225.1599</v>
      </c>
      <c r="V17" s="12">
        <f t="shared" si="11"/>
        <v>18.012792</v>
      </c>
      <c r="W17" s="12">
        <f t="shared" si="12"/>
        <v>45.03198</v>
      </c>
      <c r="X17" s="12">
        <f t="shared" si="13"/>
        <v>57.82</v>
      </c>
      <c r="Y17" s="14">
        <f t="shared" si="14"/>
        <v>2008.816568</v>
      </c>
      <c r="Z17" s="15">
        <f t="shared" si="15"/>
        <v>6333.616568</v>
      </c>
      <c r="AA17" s="18"/>
    </row>
    <row r="18" ht="21.0" customHeight="1">
      <c r="A18" s="8" t="s">
        <v>49</v>
      </c>
      <c r="B18" s="9" t="s">
        <v>54</v>
      </c>
      <c r="C18" s="17"/>
      <c r="D18" s="9" t="s">
        <v>55</v>
      </c>
      <c r="E18" s="11">
        <v>45051.0</v>
      </c>
      <c r="F18" s="20">
        <v>2832.0</v>
      </c>
      <c r="G18" s="12">
        <v>0.0</v>
      </c>
      <c r="H18" s="12">
        <f t="shared" ref="H18:H26" si="18">F18*10%</f>
        <v>283.2</v>
      </c>
      <c r="I18" s="12">
        <f t="shared" ref="I18:I19" si="19">F18*10%</f>
        <v>283.2</v>
      </c>
      <c r="J18" s="12">
        <v>0.0</v>
      </c>
      <c r="K18" s="12">
        <v>0.0</v>
      </c>
      <c r="L18" s="13">
        <f t="shared" si="1"/>
        <v>3398.4</v>
      </c>
      <c r="M18" s="12">
        <f t="shared" si="2"/>
        <v>679.68</v>
      </c>
      <c r="N18" s="12">
        <f t="shared" si="3"/>
        <v>28.32</v>
      </c>
      <c r="O18" s="12">
        <f t="shared" si="4"/>
        <v>42.48</v>
      </c>
      <c r="P18" s="12">
        <f t="shared" si="5"/>
        <v>271.872</v>
      </c>
      <c r="Q18" s="12">
        <f t="shared" si="6"/>
        <v>235.9056</v>
      </c>
      <c r="R18" s="12">
        <f t="shared" si="7"/>
        <v>78.6352</v>
      </c>
      <c r="S18" s="12">
        <f t="shared" si="8"/>
        <v>25.163264</v>
      </c>
      <c r="T18" s="12">
        <f t="shared" si="9"/>
        <v>62.90816</v>
      </c>
      <c r="U18" s="12">
        <f t="shared" si="10"/>
        <v>235.9056</v>
      </c>
      <c r="V18" s="12">
        <f t="shared" si="11"/>
        <v>18.872448</v>
      </c>
      <c r="W18" s="12">
        <f t="shared" si="12"/>
        <v>47.18112</v>
      </c>
      <c r="X18" s="12">
        <f t="shared" si="13"/>
        <v>50.08</v>
      </c>
      <c r="Y18" s="14">
        <f t="shared" si="14"/>
        <v>1777.003392</v>
      </c>
      <c r="Z18" s="15">
        <f t="shared" si="15"/>
        <v>5175.403392</v>
      </c>
      <c r="AA18" s="18"/>
    </row>
    <row r="19" ht="21.0" customHeight="1">
      <c r="A19" s="8" t="s">
        <v>49</v>
      </c>
      <c r="B19" s="9" t="s">
        <v>54</v>
      </c>
      <c r="C19" s="17"/>
      <c r="D19" s="9" t="s">
        <v>56</v>
      </c>
      <c r="E19" s="11">
        <v>44513.0</v>
      </c>
      <c r="F19" s="20">
        <v>2832.0</v>
      </c>
      <c r="G19" s="12">
        <v>0.0</v>
      </c>
      <c r="H19" s="12">
        <f t="shared" si="18"/>
        <v>283.2</v>
      </c>
      <c r="I19" s="12">
        <f t="shared" si="19"/>
        <v>283.2</v>
      </c>
      <c r="J19" s="12">
        <v>0.0</v>
      </c>
      <c r="K19" s="12">
        <v>0.0</v>
      </c>
      <c r="L19" s="13">
        <f t="shared" si="1"/>
        <v>3398.4</v>
      </c>
      <c r="M19" s="12">
        <f t="shared" si="2"/>
        <v>679.68</v>
      </c>
      <c r="N19" s="12">
        <f t="shared" si="3"/>
        <v>28.32</v>
      </c>
      <c r="O19" s="12">
        <f t="shared" si="4"/>
        <v>42.48</v>
      </c>
      <c r="P19" s="12">
        <f t="shared" si="5"/>
        <v>271.872</v>
      </c>
      <c r="Q19" s="12">
        <f t="shared" si="6"/>
        <v>235.9056</v>
      </c>
      <c r="R19" s="12">
        <f t="shared" si="7"/>
        <v>78.6352</v>
      </c>
      <c r="S19" s="12">
        <f t="shared" si="8"/>
        <v>25.163264</v>
      </c>
      <c r="T19" s="12">
        <f t="shared" si="9"/>
        <v>62.90816</v>
      </c>
      <c r="U19" s="12">
        <f t="shared" si="10"/>
        <v>235.9056</v>
      </c>
      <c r="V19" s="12">
        <f t="shared" si="11"/>
        <v>18.872448</v>
      </c>
      <c r="W19" s="12">
        <f t="shared" si="12"/>
        <v>47.18112</v>
      </c>
      <c r="X19" s="12">
        <f t="shared" si="13"/>
        <v>50.08</v>
      </c>
      <c r="Y19" s="14">
        <f t="shared" si="14"/>
        <v>1777.003392</v>
      </c>
      <c r="Z19" s="15">
        <f t="shared" si="15"/>
        <v>5175.403392</v>
      </c>
      <c r="AA19" s="18"/>
    </row>
    <row r="20" ht="21.0" customHeight="1">
      <c r="A20" s="8" t="s">
        <v>49</v>
      </c>
      <c r="B20" s="9" t="s">
        <v>54</v>
      </c>
      <c r="C20" s="17"/>
      <c r="D20" s="9" t="s">
        <v>57</v>
      </c>
      <c r="E20" s="11">
        <v>44490.0</v>
      </c>
      <c r="F20" s="20">
        <v>2832.0</v>
      </c>
      <c r="G20" s="12">
        <v>0.0</v>
      </c>
      <c r="H20" s="12">
        <f t="shared" si="18"/>
        <v>283.2</v>
      </c>
      <c r="I20" s="12">
        <f>F20*20%</f>
        <v>566.4</v>
      </c>
      <c r="J20" s="12">
        <v>0.0</v>
      </c>
      <c r="K20" s="12">
        <v>0.0</v>
      </c>
      <c r="L20" s="13">
        <f t="shared" si="1"/>
        <v>3681.6</v>
      </c>
      <c r="M20" s="12">
        <f t="shared" si="2"/>
        <v>736.32</v>
      </c>
      <c r="N20" s="12">
        <f t="shared" si="3"/>
        <v>28.32</v>
      </c>
      <c r="O20" s="12">
        <f t="shared" si="4"/>
        <v>42.48</v>
      </c>
      <c r="P20" s="12">
        <f t="shared" si="5"/>
        <v>294.528</v>
      </c>
      <c r="Q20" s="12">
        <f t="shared" si="6"/>
        <v>235.9056</v>
      </c>
      <c r="R20" s="12">
        <f t="shared" si="7"/>
        <v>78.6352</v>
      </c>
      <c r="S20" s="12">
        <f t="shared" si="8"/>
        <v>25.163264</v>
      </c>
      <c r="T20" s="12">
        <f t="shared" si="9"/>
        <v>62.90816</v>
      </c>
      <c r="U20" s="12">
        <f t="shared" si="10"/>
        <v>235.9056</v>
      </c>
      <c r="V20" s="12">
        <f t="shared" si="11"/>
        <v>18.872448</v>
      </c>
      <c r="W20" s="12">
        <f t="shared" si="12"/>
        <v>47.18112</v>
      </c>
      <c r="X20" s="12">
        <f t="shared" si="13"/>
        <v>50.08</v>
      </c>
      <c r="Y20" s="14">
        <f t="shared" si="14"/>
        <v>1856.299392</v>
      </c>
      <c r="Z20" s="15">
        <f t="shared" si="15"/>
        <v>5537.899392</v>
      </c>
      <c r="AA20" s="18"/>
    </row>
    <row r="21" ht="21.0" customHeight="1">
      <c r="A21" s="8" t="s">
        <v>49</v>
      </c>
      <c r="B21" s="9" t="s">
        <v>54</v>
      </c>
      <c r="C21" s="17"/>
      <c r="D21" s="9" t="s">
        <v>58</v>
      </c>
      <c r="E21" s="11">
        <v>44936.0</v>
      </c>
      <c r="F21" s="20">
        <v>2832.0</v>
      </c>
      <c r="G21" s="12">
        <v>0.0</v>
      </c>
      <c r="H21" s="12">
        <f t="shared" si="18"/>
        <v>283.2</v>
      </c>
      <c r="I21" s="12">
        <f t="shared" ref="I21:I22" si="20">F21*10%</f>
        <v>283.2</v>
      </c>
      <c r="J21" s="12">
        <v>0.0</v>
      </c>
      <c r="K21" s="12">
        <v>0.0</v>
      </c>
      <c r="L21" s="13">
        <f t="shared" si="1"/>
        <v>3398.4</v>
      </c>
      <c r="M21" s="12">
        <f t="shared" si="2"/>
        <v>679.68</v>
      </c>
      <c r="N21" s="12">
        <f t="shared" si="3"/>
        <v>28.32</v>
      </c>
      <c r="O21" s="12">
        <f t="shared" si="4"/>
        <v>42.48</v>
      </c>
      <c r="P21" s="12">
        <f t="shared" si="5"/>
        <v>271.872</v>
      </c>
      <c r="Q21" s="12">
        <f t="shared" si="6"/>
        <v>235.9056</v>
      </c>
      <c r="R21" s="12">
        <f t="shared" si="7"/>
        <v>78.6352</v>
      </c>
      <c r="S21" s="12">
        <f t="shared" si="8"/>
        <v>25.163264</v>
      </c>
      <c r="T21" s="12">
        <f t="shared" si="9"/>
        <v>62.90816</v>
      </c>
      <c r="U21" s="12">
        <f t="shared" si="10"/>
        <v>235.9056</v>
      </c>
      <c r="V21" s="12">
        <f t="shared" si="11"/>
        <v>18.872448</v>
      </c>
      <c r="W21" s="12">
        <f t="shared" si="12"/>
        <v>47.18112</v>
      </c>
      <c r="X21" s="12">
        <f t="shared" si="13"/>
        <v>50.08</v>
      </c>
      <c r="Y21" s="14">
        <f t="shared" si="14"/>
        <v>1777.003392</v>
      </c>
      <c r="Z21" s="15">
        <f t="shared" si="15"/>
        <v>5175.403392</v>
      </c>
      <c r="AA21" s="18"/>
    </row>
    <row r="22" ht="21.0" customHeight="1">
      <c r="A22" s="8" t="s">
        <v>49</v>
      </c>
      <c r="B22" s="9" t="s">
        <v>59</v>
      </c>
      <c r="C22" s="17"/>
      <c r="D22" s="9" t="s">
        <v>60</v>
      </c>
      <c r="E22" s="11">
        <v>44832.0</v>
      </c>
      <c r="F22" s="20">
        <v>2575.0</v>
      </c>
      <c r="G22" s="12">
        <v>0.0</v>
      </c>
      <c r="H22" s="12">
        <f t="shared" si="18"/>
        <v>257.5</v>
      </c>
      <c r="I22" s="12">
        <f t="shared" si="20"/>
        <v>257.5</v>
      </c>
      <c r="J22" s="12">
        <v>0.0</v>
      </c>
      <c r="K22" s="12">
        <v>0.0</v>
      </c>
      <c r="L22" s="13">
        <f t="shared" si="1"/>
        <v>3090</v>
      </c>
      <c r="M22" s="12">
        <f t="shared" si="2"/>
        <v>618</v>
      </c>
      <c r="N22" s="12">
        <f t="shared" si="3"/>
        <v>25.75</v>
      </c>
      <c r="O22" s="12">
        <f t="shared" si="4"/>
        <v>38.625</v>
      </c>
      <c r="P22" s="12">
        <f t="shared" si="5"/>
        <v>247.2</v>
      </c>
      <c r="Q22" s="12">
        <f t="shared" si="6"/>
        <v>214.4975</v>
      </c>
      <c r="R22" s="12">
        <f t="shared" si="7"/>
        <v>71.49916667</v>
      </c>
      <c r="S22" s="12">
        <f t="shared" si="8"/>
        <v>22.87973333</v>
      </c>
      <c r="T22" s="12">
        <f t="shared" si="9"/>
        <v>57.19933333</v>
      </c>
      <c r="U22" s="12">
        <f t="shared" si="10"/>
        <v>214.4975</v>
      </c>
      <c r="V22" s="12">
        <f t="shared" si="11"/>
        <v>17.1598</v>
      </c>
      <c r="W22" s="12">
        <f t="shared" si="12"/>
        <v>42.8995</v>
      </c>
      <c r="X22" s="12">
        <f t="shared" si="13"/>
        <v>65.5</v>
      </c>
      <c r="Y22" s="14">
        <f t="shared" si="14"/>
        <v>1635.707533</v>
      </c>
      <c r="Z22" s="15">
        <f t="shared" si="15"/>
        <v>4725.707533</v>
      </c>
      <c r="AA22" s="18"/>
    </row>
    <row r="23" ht="21.0" customHeight="1">
      <c r="A23" s="8" t="s">
        <v>49</v>
      </c>
      <c r="B23" s="9" t="s">
        <v>59</v>
      </c>
      <c r="C23" s="17"/>
      <c r="D23" s="9" t="s">
        <v>61</v>
      </c>
      <c r="E23" s="11">
        <v>45604.0</v>
      </c>
      <c r="F23" s="20">
        <v>2575.0</v>
      </c>
      <c r="G23" s="12">
        <v>0.0</v>
      </c>
      <c r="H23" s="12">
        <f t="shared" si="18"/>
        <v>257.5</v>
      </c>
      <c r="I23" s="12">
        <f>F23*20%</f>
        <v>515</v>
      </c>
      <c r="J23" s="12">
        <v>0.0</v>
      </c>
      <c r="K23" s="12">
        <v>0.0</v>
      </c>
      <c r="L23" s="13">
        <f t="shared" si="1"/>
        <v>3347.5</v>
      </c>
      <c r="M23" s="12">
        <f t="shared" si="2"/>
        <v>669.5</v>
      </c>
      <c r="N23" s="12">
        <f t="shared" si="3"/>
        <v>25.75</v>
      </c>
      <c r="O23" s="12">
        <f t="shared" si="4"/>
        <v>38.625</v>
      </c>
      <c r="P23" s="12">
        <f t="shared" si="5"/>
        <v>267.8</v>
      </c>
      <c r="Q23" s="12">
        <f t="shared" si="6"/>
        <v>214.4975</v>
      </c>
      <c r="R23" s="12">
        <f t="shared" si="7"/>
        <v>71.49916667</v>
      </c>
      <c r="S23" s="12">
        <f t="shared" si="8"/>
        <v>22.87973333</v>
      </c>
      <c r="T23" s="12">
        <f t="shared" si="9"/>
        <v>57.19933333</v>
      </c>
      <c r="U23" s="12">
        <f t="shared" si="10"/>
        <v>214.4975</v>
      </c>
      <c r="V23" s="12">
        <f t="shared" si="11"/>
        <v>17.1598</v>
      </c>
      <c r="W23" s="12">
        <f t="shared" si="12"/>
        <v>42.8995</v>
      </c>
      <c r="X23" s="12">
        <f t="shared" si="13"/>
        <v>65.5</v>
      </c>
      <c r="Y23" s="14">
        <f t="shared" si="14"/>
        <v>1707.807533</v>
      </c>
      <c r="Z23" s="15">
        <f t="shared" si="15"/>
        <v>5055.307533</v>
      </c>
      <c r="AA23" s="18"/>
    </row>
    <row r="24" ht="21.0" customHeight="1">
      <c r="A24" s="8" t="s">
        <v>49</v>
      </c>
      <c r="B24" s="9" t="s">
        <v>59</v>
      </c>
      <c r="C24" s="17"/>
      <c r="D24" s="9" t="s">
        <v>62</v>
      </c>
      <c r="E24" s="11">
        <v>45574.0</v>
      </c>
      <c r="F24" s="20">
        <v>2575.0</v>
      </c>
      <c r="G24" s="12">
        <v>0.0</v>
      </c>
      <c r="H24" s="12">
        <f t="shared" si="18"/>
        <v>257.5</v>
      </c>
      <c r="I24" s="12">
        <f t="shared" ref="I24:I25" si="21">F24*10%</f>
        <v>257.5</v>
      </c>
      <c r="J24" s="12">
        <v>0.0</v>
      </c>
      <c r="K24" s="12">
        <v>0.0</v>
      </c>
      <c r="L24" s="13">
        <f t="shared" si="1"/>
        <v>3090</v>
      </c>
      <c r="M24" s="12">
        <f t="shared" si="2"/>
        <v>618</v>
      </c>
      <c r="N24" s="12">
        <f t="shared" si="3"/>
        <v>25.75</v>
      </c>
      <c r="O24" s="12">
        <f t="shared" si="4"/>
        <v>38.625</v>
      </c>
      <c r="P24" s="12">
        <f t="shared" si="5"/>
        <v>247.2</v>
      </c>
      <c r="Q24" s="12">
        <f t="shared" si="6"/>
        <v>214.4975</v>
      </c>
      <c r="R24" s="12">
        <f t="shared" si="7"/>
        <v>71.49916667</v>
      </c>
      <c r="S24" s="12">
        <f t="shared" si="8"/>
        <v>22.87973333</v>
      </c>
      <c r="T24" s="12">
        <f t="shared" si="9"/>
        <v>57.19933333</v>
      </c>
      <c r="U24" s="12">
        <f t="shared" si="10"/>
        <v>214.4975</v>
      </c>
      <c r="V24" s="12">
        <f t="shared" si="11"/>
        <v>17.1598</v>
      </c>
      <c r="W24" s="12">
        <f t="shared" si="12"/>
        <v>42.8995</v>
      </c>
      <c r="X24" s="12">
        <f t="shared" si="13"/>
        <v>65.5</v>
      </c>
      <c r="Y24" s="14">
        <f t="shared" si="14"/>
        <v>1635.707533</v>
      </c>
      <c r="Z24" s="15">
        <f t="shared" si="15"/>
        <v>4725.707533</v>
      </c>
      <c r="AA24" s="18"/>
    </row>
    <row r="25" ht="21.0" customHeight="1">
      <c r="A25" s="8" t="s">
        <v>49</v>
      </c>
      <c r="B25" s="9" t="s">
        <v>59</v>
      </c>
      <c r="C25" s="17"/>
      <c r="D25" s="9" t="s">
        <v>63</v>
      </c>
      <c r="E25" s="11">
        <v>45574.0</v>
      </c>
      <c r="F25" s="20">
        <v>2575.0</v>
      </c>
      <c r="G25" s="12">
        <v>0.0</v>
      </c>
      <c r="H25" s="12">
        <f t="shared" si="18"/>
        <v>257.5</v>
      </c>
      <c r="I25" s="12">
        <f t="shared" si="21"/>
        <v>257.5</v>
      </c>
      <c r="J25" s="12">
        <v>0.0</v>
      </c>
      <c r="K25" s="12">
        <v>0.0</v>
      </c>
      <c r="L25" s="13">
        <f t="shared" si="1"/>
        <v>3090</v>
      </c>
      <c r="M25" s="12">
        <f t="shared" si="2"/>
        <v>618</v>
      </c>
      <c r="N25" s="12">
        <f t="shared" si="3"/>
        <v>25.75</v>
      </c>
      <c r="O25" s="12">
        <f t="shared" si="4"/>
        <v>38.625</v>
      </c>
      <c r="P25" s="12">
        <f t="shared" si="5"/>
        <v>247.2</v>
      </c>
      <c r="Q25" s="12">
        <f t="shared" si="6"/>
        <v>214.4975</v>
      </c>
      <c r="R25" s="12">
        <f t="shared" si="7"/>
        <v>71.49916667</v>
      </c>
      <c r="S25" s="12">
        <f t="shared" si="8"/>
        <v>22.87973333</v>
      </c>
      <c r="T25" s="12">
        <f t="shared" si="9"/>
        <v>57.19933333</v>
      </c>
      <c r="U25" s="12">
        <f t="shared" si="10"/>
        <v>214.4975</v>
      </c>
      <c r="V25" s="12">
        <f t="shared" si="11"/>
        <v>17.1598</v>
      </c>
      <c r="W25" s="12">
        <f t="shared" si="12"/>
        <v>42.8995</v>
      </c>
      <c r="X25" s="12">
        <f t="shared" si="13"/>
        <v>65.5</v>
      </c>
      <c r="Y25" s="14">
        <f t="shared" si="14"/>
        <v>1635.707533</v>
      </c>
      <c r="Z25" s="15">
        <f t="shared" si="15"/>
        <v>4725.707533</v>
      </c>
      <c r="AA25" s="18"/>
    </row>
    <row r="26" ht="21.0" customHeight="1">
      <c r="A26" s="8" t="s">
        <v>49</v>
      </c>
      <c r="B26" s="9" t="s">
        <v>59</v>
      </c>
      <c r="C26" s="17"/>
      <c r="D26" s="9" t="s">
        <v>64</v>
      </c>
      <c r="E26" s="11">
        <v>45444.0</v>
      </c>
      <c r="F26" s="20">
        <v>2575.0</v>
      </c>
      <c r="G26" s="12">
        <v>0.0</v>
      </c>
      <c r="H26" s="12">
        <f t="shared" si="18"/>
        <v>257.5</v>
      </c>
      <c r="I26" s="12">
        <v>0.0</v>
      </c>
      <c r="J26" s="12">
        <v>0.0</v>
      </c>
      <c r="K26" s="12">
        <v>0.0</v>
      </c>
      <c r="L26" s="13">
        <f t="shared" si="1"/>
        <v>2832.5</v>
      </c>
      <c r="M26" s="12">
        <f t="shared" si="2"/>
        <v>566.5</v>
      </c>
      <c r="N26" s="12">
        <f t="shared" si="3"/>
        <v>25.75</v>
      </c>
      <c r="O26" s="12">
        <f t="shared" si="4"/>
        <v>38.625</v>
      </c>
      <c r="P26" s="12">
        <f t="shared" si="5"/>
        <v>226.6</v>
      </c>
      <c r="Q26" s="12">
        <f t="shared" si="6"/>
        <v>214.4975</v>
      </c>
      <c r="R26" s="12">
        <f t="shared" si="7"/>
        <v>71.49916667</v>
      </c>
      <c r="S26" s="12">
        <f t="shared" si="8"/>
        <v>22.87973333</v>
      </c>
      <c r="T26" s="12">
        <f t="shared" si="9"/>
        <v>57.19933333</v>
      </c>
      <c r="U26" s="12">
        <f t="shared" si="10"/>
        <v>214.4975</v>
      </c>
      <c r="V26" s="12">
        <f t="shared" si="11"/>
        <v>17.1598</v>
      </c>
      <c r="W26" s="12">
        <f t="shared" si="12"/>
        <v>42.8995</v>
      </c>
      <c r="X26" s="12">
        <f t="shared" si="13"/>
        <v>65.5</v>
      </c>
      <c r="Y26" s="14">
        <f t="shared" si="14"/>
        <v>1563.607533</v>
      </c>
      <c r="Z26" s="15">
        <f t="shared" si="15"/>
        <v>4396.107533</v>
      </c>
      <c r="AA26" s="18"/>
    </row>
    <row r="27" ht="21.0" customHeight="1">
      <c r="A27" s="8" t="s">
        <v>65</v>
      </c>
      <c r="B27" s="9" t="s">
        <v>66</v>
      </c>
      <c r="C27" s="17"/>
      <c r="D27" s="9" t="s">
        <v>67</v>
      </c>
      <c r="E27" s="11">
        <v>43013.0</v>
      </c>
      <c r="F27" s="20">
        <v>2409.0</v>
      </c>
      <c r="G27" s="12">
        <v>0.0</v>
      </c>
      <c r="H27" s="12">
        <v>0.0</v>
      </c>
      <c r="I27" s="12">
        <v>0.0</v>
      </c>
      <c r="J27" s="12">
        <v>0.0</v>
      </c>
      <c r="K27" s="12">
        <f>F27*2%</f>
        <v>48.18</v>
      </c>
      <c r="L27" s="13">
        <f t="shared" si="1"/>
        <v>2457.18</v>
      </c>
      <c r="M27" s="12">
        <f t="shared" si="2"/>
        <v>491.436</v>
      </c>
      <c r="N27" s="12">
        <f t="shared" si="3"/>
        <v>24.09</v>
      </c>
      <c r="O27" s="12">
        <f t="shared" si="4"/>
        <v>36.135</v>
      </c>
      <c r="P27" s="12">
        <f t="shared" si="5"/>
        <v>196.5744</v>
      </c>
      <c r="Q27" s="12">
        <f t="shared" si="6"/>
        <v>200.6697</v>
      </c>
      <c r="R27" s="12">
        <f t="shared" si="7"/>
        <v>66.8899</v>
      </c>
      <c r="S27" s="12">
        <f t="shared" si="8"/>
        <v>21.404768</v>
      </c>
      <c r="T27" s="12">
        <f t="shared" si="9"/>
        <v>53.51192</v>
      </c>
      <c r="U27" s="12">
        <f t="shared" si="10"/>
        <v>200.6697</v>
      </c>
      <c r="V27" s="12">
        <f t="shared" si="11"/>
        <v>16.053576</v>
      </c>
      <c r="W27" s="12">
        <f t="shared" si="12"/>
        <v>40.13394</v>
      </c>
      <c r="X27" s="12">
        <f t="shared" si="13"/>
        <v>75.46</v>
      </c>
      <c r="Y27" s="14">
        <f t="shared" si="14"/>
        <v>1423.028904</v>
      </c>
      <c r="Z27" s="15">
        <f t="shared" si="15"/>
        <v>3880.208904</v>
      </c>
      <c r="AA27" s="18"/>
    </row>
    <row r="28" ht="21.0" customHeight="1">
      <c r="A28" s="8" t="s">
        <v>65</v>
      </c>
      <c r="B28" s="9" t="s">
        <v>68</v>
      </c>
      <c r="C28" s="17"/>
      <c r="D28" s="9" t="s">
        <v>69</v>
      </c>
      <c r="E28" s="11">
        <v>44509.0</v>
      </c>
      <c r="F28" s="20">
        <v>2190.0</v>
      </c>
      <c r="G28" s="12">
        <v>0.0</v>
      </c>
      <c r="H28" s="12">
        <v>0.0</v>
      </c>
      <c r="I28" s="12">
        <v>0.0</v>
      </c>
      <c r="J28" s="12">
        <f>F28*30%</f>
        <v>657</v>
      </c>
      <c r="K28" s="12">
        <v>0.0</v>
      </c>
      <c r="L28" s="13">
        <f t="shared" si="1"/>
        <v>2847</v>
      </c>
      <c r="M28" s="12">
        <f t="shared" si="2"/>
        <v>569.4</v>
      </c>
      <c r="N28" s="12">
        <f t="shared" si="3"/>
        <v>21.9</v>
      </c>
      <c r="O28" s="12">
        <f t="shared" si="4"/>
        <v>32.85</v>
      </c>
      <c r="P28" s="12">
        <f t="shared" si="5"/>
        <v>227.76</v>
      </c>
      <c r="Q28" s="12">
        <f t="shared" si="6"/>
        <v>182.427</v>
      </c>
      <c r="R28" s="12">
        <f t="shared" si="7"/>
        <v>60.809</v>
      </c>
      <c r="S28" s="12">
        <f t="shared" si="8"/>
        <v>19.45888</v>
      </c>
      <c r="T28" s="12">
        <f t="shared" si="9"/>
        <v>48.6472</v>
      </c>
      <c r="U28" s="12">
        <f t="shared" si="10"/>
        <v>182.427</v>
      </c>
      <c r="V28" s="12">
        <f t="shared" si="11"/>
        <v>14.59416</v>
      </c>
      <c r="W28" s="12">
        <f t="shared" si="12"/>
        <v>36.4854</v>
      </c>
      <c r="X28" s="12">
        <f t="shared" si="13"/>
        <v>88.6</v>
      </c>
      <c r="Y28" s="14">
        <f t="shared" si="14"/>
        <v>1485.35864</v>
      </c>
      <c r="Z28" s="15">
        <f t="shared" si="15"/>
        <v>4332.35864</v>
      </c>
      <c r="AA28" s="18"/>
    </row>
    <row r="29" ht="21.0" customHeight="1">
      <c r="A29" s="8" t="s">
        <v>65</v>
      </c>
      <c r="B29" s="9" t="s">
        <v>70</v>
      </c>
      <c r="C29" s="17"/>
      <c r="D29" s="9" t="s">
        <v>71</v>
      </c>
      <c r="E29" s="11">
        <v>44758.0</v>
      </c>
      <c r="F29" s="20">
        <v>2190.0</v>
      </c>
      <c r="G29" s="12">
        <v>0.0</v>
      </c>
      <c r="H29" s="12">
        <v>0.0</v>
      </c>
      <c r="I29" s="12">
        <v>0.0</v>
      </c>
      <c r="J29" s="12">
        <v>0.0</v>
      </c>
      <c r="K29" s="12">
        <v>0.0</v>
      </c>
      <c r="L29" s="13">
        <f t="shared" si="1"/>
        <v>2190</v>
      </c>
      <c r="M29" s="12">
        <f t="shared" si="2"/>
        <v>438</v>
      </c>
      <c r="N29" s="12">
        <f t="shared" si="3"/>
        <v>21.9</v>
      </c>
      <c r="O29" s="12">
        <f t="shared" si="4"/>
        <v>32.85</v>
      </c>
      <c r="P29" s="12">
        <f t="shared" si="5"/>
        <v>175.2</v>
      </c>
      <c r="Q29" s="12">
        <f t="shared" si="6"/>
        <v>182.427</v>
      </c>
      <c r="R29" s="12">
        <f t="shared" si="7"/>
        <v>60.809</v>
      </c>
      <c r="S29" s="12">
        <f t="shared" si="8"/>
        <v>19.45888</v>
      </c>
      <c r="T29" s="12">
        <f t="shared" si="9"/>
        <v>48.6472</v>
      </c>
      <c r="U29" s="12">
        <f t="shared" si="10"/>
        <v>182.427</v>
      </c>
      <c r="V29" s="12">
        <f t="shared" si="11"/>
        <v>14.59416</v>
      </c>
      <c r="W29" s="12">
        <f t="shared" si="12"/>
        <v>36.4854</v>
      </c>
      <c r="X29" s="12">
        <f t="shared" si="13"/>
        <v>88.6</v>
      </c>
      <c r="Y29" s="14">
        <f t="shared" si="14"/>
        <v>1301.39864</v>
      </c>
      <c r="Z29" s="15">
        <f t="shared" si="15"/>
        <v>3491.39864</v>
      </c>
      <c r="AA29" s="18"/>
    </row>
    <row r="30" ht="21.0" customHeight="1">
      <c r="A30" s="8" t="s">
        <v>65</v>
      </c>
      <c r="B30" s="9" t="s">
        <v>70</v>
      </c>
      <c r="C30" s="17"/>
      <c r="D30" s="9" t="s">
        <v>72</v>
      </c>
      <c r="E30" s="11">
        <v>45527.0</v>
      </c>
      <c r="F30" s="20">
        <v>2190.0</v>
      </c>
      <c r="G30" s="12">
        <v>0.0</v>
      </c>
      <c r="H30" s="12">
        <v>0.0</v>
      </c>
      <c r="I30" s="12">
        <v>0.0</v>
      </c>
      <c r="J30" s="12">
        <v>0.0</v>
      </c>
      <c r="K30" s="12">
        <v>0.0</v>
      </c>
      <c r="L30" s="13">
        <f t="shared" si="1"/>
        <v>2190</v>
      </c>
      <c r="M30" s="12">
        <f t="shared" si="2"/>
        <v>438</v>
      </c>
      <c r="N30" s="12">
        <f t="shared" si="3"/>
        <v>21.9</v>
      </c>
      <c r="O30" s="12">
        <f t="shared" si="4"/>
        <v>32.85</v>
      </c>
      <c r="P30" s="12">
        <f t="shared" si="5"/>
        <v>175.2</v>
      </c>
      <c r="Q30" s="12">
        <f t="shared" si="6"/>
        <v>182.427</v>
      </c>
      <c r="R30" s="12">
        <f t="shared" si="7"/>
        <v>60.809</v>
      </c>
      <c r="S30" s="12">
        <f t="shared" si="8"/>
        <v>19.45888</v>
      </c>
      <c r="T30" s="12">
        <f t="shared" si="9"/>
        <v>48.6472</v>
      </c>
      <c r="U30" s="12">
        <f t="shared" si="10"/>
        <v>182.427</v>
      </c>
      <c r="V30" s="12">
        <f t="shared" si="11"/>
        <v>14.59416</v>
      </c>
      <c r="W30" s="12">
        <f t="shared" si="12"/>
        <v>36.4854</v>
      </c>
      <c r="X30" s="12">
        <f t="shared" si="13"/>
        <v>88.6</v>
      </c>
      <c r="Y30" s="14">
        <f t="shared" si="14"/>
        <v>1301.39864</v>
      </c>
      <c r="Z30" s="15">
        <f t="shared" si="15"/>
        <v>3491.39864</v>
      </c>
      <c r="AA30" s="18"/>
    </row>
    <row r="31" ht="21.0" customHeight="1">
      <c r="A31" s="8" t="s">
        <v>65</v>
      </c>
      <c r="B31" s="9" t="s">
        <v>70</v>
      </c>
      <c r="C31" s="17"/>
      <c r="D31" s="9" t="s">
        <v>73</v>
      </c>
      <c r="E31" s="11">
        <v>45689.0</v>
      </c>
      <c r="F31" s="20">
        <v>2190.0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13">
        <f t="shared" si="1"/>
        <v>2190</v>
      </c>
      <c r="M31" s="12">
        <f t="shared" si="2"/>
        <v>438</v>
      </c>
      <c r="N31" s="12">
        <f t="shared" si="3"/>
        <v>21.9</v>
      </c>
      <c r="O31" s="12">
        <f t="shared" si="4"/>
        <v>32.85</v>
      </c>
      <c r="P31" s="12">
        <f t="shared" si="5"/>
        <v>175.2</v>
      </c>
      <c r="Q31" s="12">
        <f t="shared" si="6"/>
        <v>182.427</v>
      </c>
      <c r="R31" s="12">
        <f t="shared" si="7"/>
        <v>60.809</v>
      </c>
      <c r="S31" s="12">
        <f t="shared" si="8"/>
        <v>19.45888</v>
      </c>
      <c r="T31" s="12">
        <f t="shared" si="9"/>
        <v>48.6472</v>
      </c>
      <c r="U31" s="12">
        <f t="shared" si="10"/>
        <v>182.427</v>
      </c>
      <c r="V31" s="12">
        <f t="shared" si="11"/>
        <v>14.59416</v>
      </c>
      <c r="W31" s="12">
        <f t="shared" si="12"/>
        <v>36.4854</v>
      </c>
      <c r="X31" s="12">
        <f t="shared" si="13"/>
        <v>88.6</v>
      </c>
      <c r="Y31" s="14">
        <f t="shared" si="14"/>
        <v>1301.39864</v>
      </c>
      <c r="Z31" s="15">
        <f t="shared" si="15"/>
        <v>3491.39864</v>
      </c>
      <c r="AA31" s="18"/>
    </row>
    <row r="32" ht="21.0" customHeight="1">
      <c r="A32" s="21" t="s">
        <v>74</v>
      </c>
      <c r="B32" s="9" t="s">
        <v>75</v>
      </c>
      <c r="C32" s="17"/>
      <c r="D32" s="22" t="s">
        <v>76</v>
      </c>
      <c r="E32" s="23">
        <v>44170.0</v>
      </c>
      <c r="F32" s="12">
        <v>2703.0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3">
        <f t="shared" si="1"/>
        <v>2703</v>
      </c>
      <c r="M32" s="12">
        <f t="shared" si="2"/>
        <v>540.6</v>
      </c>
      <c r="N32" s="12">
        <f t="shared" si="3"/>
        <v>27.03</v>
      </c>
      <c r="O32" s="12">
        <f t="shared" si="4"/>
        <v>40.545</v>
      </c>
      <c r="P32" s="12">
        <f t="shared" si="5"/>
        <v>216.24</v>
      </c>
      <c r="Q32" s="12">
        <f t="shared" si="6"/>
        <v>225.1599</v>
      </c>
      <c r="R32" s="12">
        <f t="shared" si="7"/>
        <v>75.0533</v>
      </c>
      <c r="S32" s="12">
        <f t="shared" si="8"/>
        <v>24.017056</v>
      </c>
      <c r="T32" s="12">
        <f t="shared" si="9"/>
        <v>60.04264</v>
      </c>
      <c r="U32" s="12">
        <f t="shared" si="10"/>
        <v>225.1599</v>
      </c>
      <c r="V32" s="12">
        <f t="shared" si="11"/>
        <v>18.012792</v>
      </c>
      <c r="W32" s="12">
        <f t="shared" si="12"/>
        <v>45.03198</v>
      </c>
      <c r="X32" s="12">
        <f t="shared" si="13"/>
        <v>57.82</v>
      </c>
      <c r="Y32" s="14">
        <f t="shared" si="14"/>
        <v>1554.712568</v>
      </c>
      <c r="Z32" s="15">
        <f t="shared" si="15"/>
        <v>4257.712568</v>
      </c>
      <c r="AA32" s="18"/>
    </row>
    <row r="33" ht="21.0" customHeight="1">
      <c r="A33" s="21" t="s">
        <v>74</v>
      </c>
      <c r="B33" s="9" t="s">
        <v>77</v>
      </c>
      <c r="C33" s="17"/>
      <c r="D33" s="24" t="s">
        <v>78</v>
      </c>
      <c r="E33" s="25">
        <v>45673.0</v>
      </c>
      <c r="F33" s="12">
        <v>2190.0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3">
        <f t="shared" si="1"/>
        <v>2190</v>
      </c>
      <c r="M33" s="12">
        <f t="shared" si="2"/>
        <v>438</v>
      </c>
      <c r="N33" s="12">
        <f t="shared" si="3"/>
        <v>21.9</v>
      </c>
      <c r="O33" s="12">
        <f t="shared" si="4"/>
        <v>32.85</v>
      </c>
      <c r="P33" s="12">
        <f t="shared" si="5"/>
        <v>175.2</v>
      </c>
      <c r="Q33" s="12">
        <f t="shared" si="6"/>
        <v>182.427</v>
      </c>
      <c r="R33" s="12">
        <f t="shared" si="7"/>
        <v>60.809</v>
      </c>
      <c r="S33" s="12">
        <f t="shared" si="8"/>
        <v>19.45888</v>
      </c>
      <c r="T33" s="12">
        <f t="shared" si="9"/>
        <v>48.6472</v>
      </c>
      <c r="U33" s="12">
        <f t="shared" si="10"/>
        <v>182.427</v>
      </c>
      <c r="V33" s="12">
        <f t="shared" si="11"/>
        <v>14.59416</v>
      </c>
      <c r="W33" s="12">
        <f t="shared" si="12"/>
        <v>36.4854</v>
      </c>
      <c r="X33" s="12">
        <f t="shared" si="13"/>
        <v>88.6</v>
      </c>
      <c r="Y33" s="14">
        <f t="shared" si="14"/>
        <v>1301.39864</v>
      </c>
      <c r="Z33" s="15">
        <f t="shared" si="15"/>
        <v>3491.39864</v>
      </c>
      <c r="AA33" s="18"/>
    </row>
    <row r="34" ht="21.0" customHeight="1">
      <c r="A34" s="21" t="s">
        <v>74</v>
      </c>
      <c r="B34" s="9" t="s">
        <v>79</v>
      </c>
      <c r="C34" s="17"/>
      <c r="D34" s="22" t="s">
        <v>80</v>
      </c>
      <c r="E34" s="11">
        <v>44589.0</v>
      </c>
      <c r="F34" s="12">
        <v>2190.0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3">
        <f t="shared" si="1"/>
        <v>2190</v>
      </c>
      <c r="M34" s="12">
        <f t="shared" si="2"/>
        <v>438</v>
      </c>
      <c r="N34" s="12">
        <f t="shared" si="3"/>
        <v>21.9</v>
      </c>
      <c r="O34" s="12">
        <f t="shared" si="4"/>
        <v>32.85</v>
      </c>
      <c r="P34" s="12">
        <f t="shared" si="5"/>
        <v>175.2</v>
      </c>
      <c r="Q34" s="12">
        <f t="shared" si="6"/>
        <v>182.427</v>
      </c>
      <c r="R34" s="12">
        <f t="shared" si="7"/>
        <v>60.809</v>
      </c>
      <c r="S34" s="12">
        <f t="shared" si="8"/>
        <v>19.45888</v>
      </c>
      <c r="T34" s="12">
        <f t="shared" si="9"/>
        <v>48.6472</v>
      </c>
      <c r="U34" s="12">
        <f t="shared" si="10"/>
        <v>182.427</v>
      </c>
      <c r="V34" s="12">
        <f t="shared" si="11"/>
        <v>14.59416</v>
      </c>
      <c r="W34" s="12">
        <f t="shared" si="12"/>
        <v>36.4854</v>
      </c>
      <c r="X34" s="12">
        <f t="shared" si="13"/>
        <v>88.6</v>
      </c>
      <c r="Y34" s="14">
        <f t="shared" si="14"/>
        <v>1301.39864</v>
      </c>
      <c r="Z34" s="15">
        <f t="shared" si="15"/>
        <v>3491.39864</v>
      </c>
      <c r="AA34" s="18"/>
    </row>
    <row r="35" ht="21.0" customHeight="1">
      <c r="A35" s="21" t="s">
        <v>74</v>
      </c>
      <c r="B35" s="9" t="s">
        <v>79</v>
      </c>
      <c r="C35" s="17"/>
      <c r="D35" s="22" t="s">
        <v>81</v>
      </c>
      <c r="E35" s="11">
        <v>45536.0</v>
      </c>
      <c r="F35" s="12">
        <v>2190.0</v>
      </c>
      <c r="G35" s="12">
        <v>0.0</v>
      </c>
      <c r="H35" s="12">
        <v>0.0</v>
      </c>
      <c r="I35" s="12">
        <v>0.0</v>
      </c>
      <c r="J35" s="12">
        <v>0.0</v>
      </c>
      <c r="K35" s="12">
        <v>0.0</v>
      </c>
      <c r="L35" s="13">
        <f t="shared" si="1"/>
        <v>2190</v>
      </c>
      <c r="M35" s="12">
        <f t="shared" si="2"/>
        <v>438</v>
      </c>
      <c r="N35" s="12">
        <f t="shared" si="3"/>
        <v>21.9</v>
      </c>
      <c r="O35" s="12">
        <f t="shared" si="4"/>
        <v>32.85</v>
      </c>
      <c r="P35" s="12">
        <f t="shared" si="5"/>
        <v>175.2</v>
      </c>
      <c r="Q35" s="12">
        <f t="shared" si="6"/>
        <v>182.427</v>
      </c>
      <c r="R35" s="12">
        <f t="shared" si="7"/>
        <v>60.809</v>
      </c>
      <c r="S35" s="12">
        <f t="shared" si="8"/>
        <v>19.45888</v>
      </c>
      <c r="T35" s="12">
        <f t="shared" si="9"/>
        <v>48.6472</v>
      </c>
      <c r="U35" s="12">
        <f t="shared" si="10"/>
        <v>182.427</v>
      </c>
      <c r="V35" s="12">
        <f t="shared" si="11"/>
        <v>14.59416</v>
      </c>
      <c r="W35" s="12">
        <f t="shared" si="12"/>
        <v>36.4854</v>
      </c>
      <c r="X35" s="12">
        <f t="shared" si="13"/>
        <v>88.6</v>
      </c>
      <c r="Y35" s="14">
        <f t="shared" si="14"/>
        <v>1301.39864</v>
      </c>
      <c r="Z35" s="15">
        <f t="shared" si="15"/>
        <v>3491.39864</v>
      </c>
      <c r="AA35" s="18"/>
    </row>
    <row r="36" ht="21.0" customHeight="1">
      <c r="A36" s="21" t="s">
        <v>74</v>
      </c>
      <c r="B36" s="9" t="s">
        <v>82</v>
      </c>
      <c r="C36" s="17"/>
      <c r="D36" s="22" t="s">
        <v>83</v>
      </c>
      <c r="E36" s="23">
        <v>45519.0</v>
      </c>
      <c r="F36" s="12">
        <v>2190.0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3">
        <f t="shared" si="1"/>
        <v>2190</v>
      </c>
      <c r="M36" s="12">
        <f t="shared" si="2"/>
        <v>438</v>
      </c>
      <c r="N36" s="12">
        <f t="shared" si="3"/>
        <v>21.9</v>
      </c>
      <c r="O36" s="12">
        <f t="shared" si="4"/>
        <v>32.85</v>
      </c>
      <c r="P36" s="12">
        <f t="shared" si="5"/>
        <v>175.2</v>
      </c>
      <c r="Q36" s="12">
        <f t="shared" si="6"/>
        <v>182.427</v>
      </c>
      <c r="R36" s="12">
        <f t="shared" si="7"/>
        <v>60.809</v>
      </c>
      <c r="S36" s="12">
        <f t="shared" si="8"/>
        <v>19.45888</v>
      </c>
      <c r="T36" s="12">
        <f t="shared" si="9"/>
        <v>48.6472</v>
      </c>
      <c r="U36" s="12">
        <f t="shared" si="10"/>
        <v>182.427</v>
      </c>
      <c r="V36" s="12">
        <f t="shared" si="11"/>
        <v>14.59416</v>
      </c>
      <c r="W36" s="12">
        <f t="shared" si="12"/>
        <v>36.4854</v>
      </c>
      <c r="X36" s="12">
        <f t="shared" si="13"/>
        <v>88.6</v>
      </c>
      <c r="Y36" s="14">
        <f t="shared" si="14"/>
        <v>1301.39864</v>
      </c>
      <c r="Z36" s="15">
        <f t="shared" si="15"/>
        <v>3491.39864</v>
      </c>
      <c r="AA36" s="18"/>
    </row>
    <row r="37" ht="21.0" customHeight="1">
      <c r="A37" s="21" t="s">
        <v>84</v>
      </c>
      <c r="B37" s="9" t="s">
        <v>85</v>
      </c>
      <c r="C37" s="17"/>
      <c r="D37" s="9" t="s">
        <v>86</v>
      </c>
      <c r="E37" s="11">
        <v>45489.0</v>
      </c>
      <c r="F37" s="20">
        <v>2703.0</v>
      </c>
      <c r="G37" s="12">
        <f>F37*40%</f>
        <v>1081.2</v>
      </c>
      <c r="H37" s="12">
        <v>0.0</v>
      </c>
      <c r="I37" s="12">
        <v>0.0</v>
      </c>
      <c r="J37" s="12">
        <v>0.0</v>
      </c>
      <c r="K37" s="12">
        <v>0.0</v>
      </c>
      <c r="L37" s="13">
        <f t="shared" si="1"/>
        <v>3784.2</v>
      </c>
      <c r="M37" s="12">
        <f t="shared" si="2"/>
        <v>756.84</v>
      </c>
      <c r="N37" s="12">
        <f t="shared" si="3"/>
        <v>27.03</v>
      </c>
      <c r="O37" s="12">
        <f t="shared" si="4"/>
        <v>40.545</v>
      </c>
      <c r="P37" s="12">
        <f t="shared" si="5"/>
        <v>302.736</v>
      </c>
      <c r="Q37" s="12">
        <f t="shared" si="6"/>
        <v>225.1599</v>
      </c>
      <c r="R37" s="12">
        <f t="shared" si="7"/>
        <v>75.0533</v>
      </c>
      <c r="S37" s="12">
        <f t="shared" si="8"/>
        <v>24.017056</v>
      </c>
      <c r="T37" s="12">
        <f t="shared" si="9"/>
        <v>60.04264</v>
      </c>
      <c r="U37" s="12">
        <f t="shared" si="10"/>
        <v>225.1599</v>
      </c>
      <c r="V37" s="12">
        <f t="shared" si="11"/>
        <v>18.012792</v>
      </c>
      <c r="W37" s="12">
        <f t="shared" si="12"/>
        <v>45.03198</v>
      </c>
      <c r="X37" s="12">
        <f t="shared" si="13"/>
        <v>57.82</v>
      </c>
      <c r="Y37" s="14">
        <f t="shared" si="14"/>
        <v>1857.448568</v>
      </c>
      <c r="Z37" s="15">
        <f t="shared" si="15"/>
        <v>5641.648568</v>
      </c>
      <c r="AA37" s="18"/>
    </row>
    <row r="38" ht="21.0" customHeight="1">
      <c r="A38" s="21" t="s">
        <v>84</v>
      </c>
      <c r="B38" s="9" t="s">
        <v>87</v>
      </c>
      <c r="C38" s="17"/>
      <c r="D38" s="9" t="s">
        <v>88</v>
      </c>
      <c r="E38" s="11">
        <v>42394.0</v>
      </c>
      <c r="F38" s="20">
        <v>2487.0</v>
      </c>
      <c r="G38" s="12">
        <v>0.0</v>
      </c>
      <c r="H38" s="12">
        <v>0.0</v>
      </c>
      <c r="I38" s="12">
        <v>0.0</v>
      </c>
      <c r="J38" s="12">
        <v>0.0</v>
      </c>
      <c r="K38" s="12">
        <f t="shared" ref="K38:K39" si="22">F38*2%</f>
        <v>49.74</v>
      </c>
      <c r="L38" s="13">
        <f t="shared" si="1"/>
        <v>2536.74</v>
      </c>
      <c r="M38" s="12">
        <f t="shared" si="2"/>
        <v>507.348</v>
      </c>
      <c r="N38" s="12">
        <f t="shared" si="3"/>
        <v>24.87</v>
      </c>
      <c r="O38" s="12">
        <f t="shared" si="4"/>
        <v>37.305</v>
      </c>
      <c r="P38" s="12">
        <f t="shared" si="5"/>
        <v>202.9392</v>
      </c>
      <c r="Q38" s="12">
        <f t="shared" si="6"/>
        <v>207.1671</v>
      </c>
      <c r="R38" s="12">
        <f t="shared" si="7"/>
        <v>69.0557</v>
      </c>
      <c r="S38" s="12">
        <f t="shared" si="8"/>
        <v>22.097824</v>
      </c>
      <c r="T38" s="12">
        <f t="shared" si="9"/>
        <v>55.24456</v>
      </c>
      <c r="U38" s="12">
        <f t="shared" si="10"/>
        <v>207.1671</v>
      </c>
      <c r="V38" s="12">
        <f t="shared" si="11"/>
        <v>16.573368</v>
      </c>
      <c r="W38" s="12">
        <f t="shared" si="12"/>
        <v>41.43342</v>
      </c>
      <c r="X38" s="12">
        <f t="shared" si="13"/>
        <v>70.78</v>
      </c>
      <c r="Y38" s="14">
        <f t="shared" si="14"/>
        <v>1461.981272</v>
      </c>
      <c r="Z38" s="15">
        <f t="shared" si="15"/>
        <v>3998.721272</v>
      </c>
      <c r="AA38" s="18"/>
    </row>
    <row r="39" ht="21.0" customHeight="1">
      <c r="A39" s="21" t="s">
        <v>84</v>
      </c>
      <c r="B39" s="9" t="s">
        <v>89</v>
      </c>
      <c r="C39" s="17"/>
      <c r="D39" s="9" t="s">
        <v>90</v>
      </c>
      <c r="E39" s="11">
        <v>43503.0</v>
      </c>
      <c r="F39" s="20">
        <v>2572.0</v>
      </c>
      <c r="G39" s="12">
        <v>0.0</v>
      </c>
      <c r="H39" s="12">
        <v>0.0</v>
      </c>
      <c r="I39" s="12">
        <v>0.0</v>
      </c>
      <c r="J39" s="12">
        <v>0.0</v>
      </c>
      <c r="K39" s="12">
        <f t="shared" si="22"/>
        <v>51.44</v>
      </c>
      <c r="L39" s="13">
        <f t="shared" si="1"/>
        <v>2623.44</v>
      </c>
      <c r="M39" s="12">
        <f t="shared" si="2"/>
        <v>524.688</v>
      </c>
      <c r="N39" s="12">
        <f t="shared" si="3"/>
        <v>25.72</v>
      </c>
      <c r="O39" s="12">
        <f t="shared" si="4"/>
        <v>38.58</v>
      </c>
      <c r="P39" s="12">
        <f t="shared" si="5"/>
        <v>209.8752</v>
      </c>
      <c r="Q39" s="12">
        <f t="shared" si="6"/>
        <v>214.2476</v>
      </c>
      <c r="R39" s="12">
        <f t="shared" si="7"/>
        <v>71.41586667</v>
      </c>
      <c r="S39" s="12">
        <f t="shared" si="8"/>
        <v>22.85307733</v>
      </c>
      <c r="T39" s="12">
        <f t="shared" si="9"/>
        <v>57.13269333</v>
      </c>
      <c r="U39" s="12">
        <f t="shared" si="10"/>
        <v>214.2476</v>
      </c>
      <c r="V39" s="12">
        <f t="shared" si="11"/>
        <v>17.139808</v>
      </c>
      <c r="W39" s="12">
        <f t="shared" si="12"/>
        <v>42.84952</v>
      </c>
      <c r="X39" s="12">
        <f t="shared" si="13"/>
        <v>65.68</v>
      </c>
      <c r="Y39" s="14">
        <f t="shared" si="14"/>
        <v>1504.429365</v>
      </c>
      <c r="Z39" s="15">
        <f t="shared" si="15"/>
        <v>4127.869365</v>
      </c>
      <c r="AA39" s="18"/>
    </row>
    <row r="40" ht="21.0" customHeight="1">
      <c r="A40" s="21" t="s">
        <v>84</v>
      </c>
      <c r="B40" s="9" t="s">
        <v>91</v>
      </c>
      <c r="C40" s="17"/>
      <c r="D40" s="9" t="s">
        <v>92</v>
      </c>
      <c r="E40" s="11">
        <v>44527.0</v>
      </c>
      <c r="F40" s="20">
        <v>2290.0</v>
      </c>
      <c r="G40" s="12">
        <v>0.0</v>
      </c>
      <c r="H40" s="12">
        <v>0.0</v>
      </c>
      <c r="I40" s="12">
        <v>0.0</v>
      </c>
      <c r="J40" s="12">
        <v>0.0</v>
      </c>
      <c r="K40" s="12">
        <v>0.0</v>
      </c>
      <c r="L40" s="13">
        <f t="shared" si="1"/>
        <v>2290</v>
      </c>
      <c r="M40" s="12">
        <f t="shared" si="2"/>
        <v>458</v>
      </c>
      <c r="N40" s="12">
        <f t="shared" si="3"/>
        <v>22.9</v>
      </c>
      <c r="O40" s="12">
        <f t="shared" si="4"/>
        <v>34.35</v>
      </c>
      <c r="P40" s="12">
        <f t="shared" si="5"/>
        <v>183.2</v>
      </c>
      <c r="Q40" s="12">
        <f t="shared" si="6"/>
        <v>190.757</v>
      </c>
      <c r="R40" s="12">
        <f t="shared" si="7"/>
        <v>63.58566667</v>
      </c>
      <c r="S40" s="12">
        <f t="shared" si="8"/>
        <v>20.34741333</v>
      </c>
      <c r="T40" s="12">
        <f t="shared" si="9"/>
        <v>50.86853333</v>
      </c>
      <c r="U40" s="12">
        <f t="shared" si="10"/>
        <v>190.757</v>
      </c>
      <c r="V40" s="12">
        <f t="shared" si="11"/>
        <v>15.26056</v>
      </c>
      <c r="W40" s="12">
        <f t="shared" si="12"/>
        <v>38.1514</v>
      </c>
      <c r="X40" s="12">
        <f t="shared" si="13"/>
        <v>82.6</v>
      </c>
      <c r="Y40" s="14">
        <f t="shared" si="14"/>
        <v>1350.777573</v>
      </c>
      <c r="Z40" s="15">
        <f t="shared" si="15"/>
        <v>3640.777573</v>
      </c>
      <c r="AA40" s="18"/>
    </row>
    <row r="41" ht="21.0" customHeight="1">
      <c r="A41" s="21" t="s">
        <v>84</v>
      </c>
      <c r="B41" s="9" t="s">
        <v>91</v>
      </c>
      <c r="C41" s="17"/>
      <c r="D41" s="9" t="s">
        <v>93</v>
      </c>
      <c r="E41" s="11">
        <v>45689.0</v>
      </c>
      <c r="F41" s="20">
        <v>2290.0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3">
        <f t="shared" si="1"/>
        <v>2290</v>
      </c>
      <c r="M41" s="12">
        <f t="shared" si="2"/>
        <v>458</v>
      </c>
      <c r="N41" s="12">
        <f t="shared" si="3"/>
        <v>22.9</v>
      </c>
      <c r="O41" s="12">
        <f t="shared" si="4"/>
        <v>34.35</v>
      </c>
      <c r="P41" s="12">
        <f t="shared" si="5"/>
        <v>183.2</v>
      </c>
      <c r="Q41" s="12">
        <f t="shared" si="6"/>
        <v>190.757</v>
      </c>
      <c r="R41" s="12">
        <f t="shared" si="7"/>
        <v>63.58566667</v>
      </c>
      <c r="S41" s="12">
        <f t="shared" si="8"/>
        <v>20.34741333</v>
      </c>
      <c r="T41" s="12">
        <f t="shared" si="9"/>
        <v>50.86853333</v>
      </c>
      <c r="U41" s="12">
        <f t="shared" si="10"/>
        <v>190.757</v>
      </c>
      <c r="V41" s="12">
        <f t="shared" si="11"/>
        <v>15.26056</v>
      </c>
      <c r="W41" s="12">
        <f t="shared" si="12"/>
        <v>38.1514</v>
      </c>
      <c r="X41" s="12">
        <f t="shared" si="13"/>
        <v>82.6</v>
      </c>
      <c r="Y41" s="14">
        <f t="shared" si="14"/>
        <v>1350.777573</v>
      </c>
      <c r="Z41" s="15">
        <f t="shared" si="15"/>
        <v>3640.777573</v>
      </c>
      <c r="AA41" s="18"/>
    </row>
    <row r="42" ht="21.0" customHeight="1">
      <c r="A42" s="21" t="s">
        <v>94</v>
      </c>
      <c r="B42" s="9" t="s">
        <v>95</v>
      </c>
      <c r="C42" s="17"/>
      <c r="D42" s="9" t="s">
        <v>96</v>
      </c>
      <c r="E42" s="11">
        <v>45041.0</v>
      </c>
      <c r="F42" s="20">
        <v>2050.0</v>
      </c>
      <c r="G42" s="12">
        <v>0.0</v>
      </c>
      <c r="H42" s="12">
        <v>0.0</v>
      </c>
      <c r="I42" s="12">
        <v>0.0</v>
      </c>
      <c r="J42" s="12">
        <v>0.0</v>
      </c>
      <c r="K42" s="12">
        <v>0.0</v>
      </c>
      <c r="L42" s="13">
        <f t="shared" si="1"/>
        <v>2050</v>
      </c>
      <c r="M42" s="12">
        <f t="shared" si="2"/>
        <v>410</v>
      </c>
      <c r="N42" s="12">
        <f t="shared" si="3"/>
        <v>20.5</v>
      </c>
      <c r="O42" s="12">
        <f t="shared" si="4"/>
        <v>30.75</v>
      </c>
      <c r="P42" s="12">
        <f t="shared" si="5"/>
        <v>164</v>
      </c>
      <c r="Q42" s="12">
        <f t="shared" si="6"/>
        <v>170.765</v>
      </c>
      <c r="R42" s="12">
        <f t="shared" si="7"/>
        <v>56.92166667</v>
      </c>
      <c r="S42" s="12">
        <f t="shared" si="8"/>
        <v>18.21493333</v>
      </c>
      <c r="T42" s="12">
        <f t="shared" si="9"/>
        <v>45.53733333</v>
      </c>
      <c r="U42" s="12">
        <f t="shared" si="10"/>
        <v>170.765</v>
      </c>
      <c r="V42" s="12">
        <f t="shared" si="11"/>
        <v>13.6612</v>
      </c>
      <c r="W42" s="12">
        <f t="shared" si="12"/>
        <v>34.153</v>
      </c>
      <c r="X42" s="12">
        <f t="shared" si="13"/>
        <v>97</v>
      </c>
      <c r="Y42" s="14">
        <f t="shared" si="14"/>
        <v>1232.268133</v>
      </c>
      <c r="Z42" s="15">
        <f t="shared" si="15"/>
        <v>3282.268133</v>
      </c>
      <c r="AA42" s="18"/>
    </row>
    <row r="43" ht="21.0" customHeight="1">
      <c r="A43" s="21" t="s">
        <v>94</v>
      </c>
      <c r="B43" s="9" t="s">
        <v>95</v>
      </c>
      <c r="C43" s="17"/>
      <c r="D43" s="9" t="s">
        <v>97</v>
      </c>
      <c r="E43" s="11">
        <v>44497.0</v>
      </c>
      <c r="F43" s="20">
        <v>2050.0</v>
      </c>
      <c r="G43" s="12">
        <v>0.0</v>
      </c>
      <c r="H43" s="12">
        <v>0.0</v>
      </c>
      <c r="I43" s="12">
        <v>0.0</v>
      </c>
      <c r="J43" s="12">
        <v>0.0</v>
      </c>
      <c r="K43" s="12">
        <v>0.0</v>
      </c>
      <c r="L43" s="13">
        <f t="shared" si="1"/>
        <v>2050</v>
      </c>
      <c r="M43" s="12">
        <f t="shared" si="2"/>
        <v>410</v>
      </c>
      <c r="N43" s="12">
        <f t="shared" si="3"/>
        <v>20.5</v>
      </c>
      <c r="O43" s="12">
        <f t="shared" si="4"/>
        <v>30.75</v>
      </c>
      <c r="P43" s="12">
        <f t="shared" si="5"/>
        <v>164</v>
      </c>
      <c r="Q43" s="12">
        <f t="shared" si="6"/>
        <v>170.765</v>
      </c>
      <c r="R43" s="12">
        <f t="shared" si="7"/>
        <v>56.92166667</v>
      </c>
      <c r="S43" s="12">
        <f t="shared" si="8"/>
        <v>18.21493333</v>
      </c>
      <c r="T43" s="12">
        <f t="shared" si="9"/>
        <v>45.53733333</v>
      </c>
      <c r="U43" s="12">
        <f t="shared" si="10"/>
        <v>170.765</v>
      </c>
      <c r="V43" s="12">
        <f t="shared" si="11"/>
        <v>13.6612</v>
      </c>
      <c r="W43" s="12">
        <f t="shared" si="12"/>
        <v>34.153</v>
      </c>
      <c r="X43" s="12">
        <f t="shared" si="13"/>
        <v>97</v>
      </c>
      <c r="Y43" s="14">
        <f t="shared" si="14"/>
        <v>1232.268133</v>
      </c>
      <c r="Z43" s="15">
        <f t="shared" si="15"/>
        <v>3282.268133</v>
      </c>
      <c r="AA43" s="18"/>
    </row>
    <row r="44" ht="21.0" customHeight="1">
      <c r="A44" s="21" t="s">
        <v>98</v>
      </c>
      <c r="B44" s="9" t="s">
        <v>99</v>
      </c>
      <c r="C44" s="17"/>
      <c r="D44" s="9" t="s">
        <v>100</v>
      </c>
      <c r="E44" s="11">
        <v>44648.0</v>
      </c>
      <c r="F44" s="20">
        <v>3180.0</v>
      </c>
      <c r="G44" s="12">
        <f>F44*40%</f>
        <v>1272</v>
      </c>
      <c r="H44" s="12">
        <v>0.0</v>
      </c>
      <c r="I44" s="12">
        <v>0.0</v>
      </c>
      <c r="J44" s="12">
        <v>0.0</v>
      </c>
      <c r="K44" s="12">
        <v>0.0</v>
      </c>
      <c r="L44" s="13">
        <f t="shared" si="1"/>
        <v>4452</v>
      </c>
      <c r="M44" s="12">
        <f t="shared" si="2"/>
        <v>890.4</v>
      </c>
      <c r="N44" s="12">
        <f t="shared" si="3"/>
        <v>31.8</v>
      </c>
      <c r="O44" s="12">
        <f t="shared" si="4"/>
        <v>47.7</v>
      </c>
      <c r="P44" s="12">
        <f t="shared" si="5"/>
        <v>356.16</v>
      </c>
      <c r="Q44" s="12">
        <f t="shared" si="6"/>
        <v>264.894</v>
      </c>
      <c r="R44" s="12">
        <f t="shared" si="7"/>
        <v>88.298</v>
      </c>
      <c r="S44" s="12">
        <f t="shared" si="8"/>
        <v>28.25536</v>
      </c>
      <c r="T44" s="12">
        <f t="shared" si="9"/>
        <v>70.6384</v>
      </c>
      <c r="U44" s="12">
        <f t="shared" si="10"/>
        <v>264.894</v>
      </c>
      <c r="V44" s="12">
        <f t="shared" si="11"/>
        <v>21.19152</v>
      </c>
      <c r="W44" s="12">
        <f t="shared" si="12"/>
        <v>52.9788</v>
      </c>
      <c r="X44" s="12">
        <f t="shared" si="13"/>
        <v>29.2</v>
      </c>
      <c r="Y44" s="14">
        <f t="shared" si="14"/>
        <v>2146.41008</v>
      </c>
      <c r="Z44" s="15">
        <f t="shared" si="15"/>
        <v>6598.41008</v>
      </c>
      <c r="AA44" s="18"/>
    </row>
    <row r="45" ht="21.0" customHeight="1">
      <c r="A45" s="21" t="s">
        <v>98</v>
      </c>
      <c r="B45" s="9" t="s">
        <v>101</v>
      </c>
      <c r="C45" s="17"/>
      <c r="D45" s="9" t="s">
        <v>102</v>
      </c>
      <c r="E45" s="11">
        <v>45582.0</v>
      </c>
      <c r="F45" s="20">
        <v>2720.0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3">
        <f t="shared" si="1"/>
        <v>2720</v>
      </c>
      <c r="M45" s="12">
        <f t="shared" si="2"/>
        <v>544</v>
      </c>
      <c r="N45" s="12">
        <f t="shared" si="3"/>
        <v>27.2</v>
      </c>
      <c r="O45" s="12">
        <f t="shared" si="4"/>
        <v>40.8</v>
      </c>
      <c r="P45" s="12">
        <f t="shared" si="5"/>
        <v>217.6</v>
      </c>
      <c r="Q45" s="12">
        <f t="shared" si="6"/>
        <v>226.576</v>
      </c>
      <c r="R45" s="12">
        <f t="shared" si="7"/>
        <v>75.52533333</v>
      </c>
      <c r="S45" s="12">
        <f t="shared" si="8"/>
        <v>24.16810667</v>
      </c>
      <c r="T45" s="12">
        <f t="shared" si="9"/>
        <v>60.42026667</v>
      </c>
      <c r="U45" s="12">
        <f t="shared" si="10"/>
        <v>226.576</v>
      </c>
      <c r="V45" s="12">
        <f t="shared" si="11"/>
        <v>18.12608</v>
      </c>
      <c r="W45" s="12">
        <f t="shared" si="12"/>
        <v>45.3152</v>
      </c>
      <c r="X45" s="12">
        <f t="shared" si="13"/>
        <v>56.8</v>
      </c>
      <c r="Y45" s="14">
        <f t="shared" si="14"/>
        <v>1563.106987</v>
      </c>
      <c r="Z45" s="15">
        <f t="shared" si="15"/>
        <v>4283.106987</v>
      </c>
      <c r="AA45" s="18"/>
    </row>
    <row r="46" ht="21.0" customHeight="1">
      <c r="A46" s="21" t="s">
        <v>98</v>
      </c>
      <c r="B46" s="9" t="s">
        <v>103</v>
      </c>
      <c r="C46" s="17"/>
      <c r="D46" s="9" t="s">
        <v>104</v>
      </c>
      <c r="E46" s="11">
        <v>45667.0</v>
      </c>
      <c r="F46" s="20">
        <v>2680.0</v>
      </c>
      <c r="G46" s="12">
        <v>0.0</v>
      </c>
      <c r="H46" s="12">
        <v>0.0</v>
      </c>
      <c r="I46" s="12">
        <v>0.0</v>
      </c>
      <c r="J46" s="12">
        <v>0.0</v>
      </c>
      <c r="K46" s="12">
        <v>0.0</v>
      </c>
      <c r="L46" s="13">
        <f t="shared" si="1"/>
        <v>2680</v>
      </c>
      <c r="M46" s="12">
        <f t="shared" si="2"/>
        <v>536</v>
      </c>
      <c r="N46" s="12">
        <f t="shared" si="3"/>
        <v>26.8</v>
      </c>
      <c r="O46" s="12">
        <f t="shared" si="4"/>
        <v>40.2</v>
      </c>
      <c r="P46" s="12">
        <f t="shared" si="5"/>
        <v>214.4</v>
      </c>
      <c r="Q46" s="12">
        <f t="shared" si="6"/>
        <v>223.244</v>
      </c>
      <c r="R46" s="12">
        <f t="shared" si="7"/>
        <v>74.41466667</v>
      </c>
      <c r="S46" s="12">
        <f t="shared" si="8"/>
        <v>23.81269333</v>
      </c>
      <c r="T46" s="12">
        <f t="shared" si="9"/>
        <v>59.53173333</v>
      </c>
      <c r="U46" s="12">
        <f t="shared" si="10"/>
        <v>223.244</v>
      </c>
      <c r="V46" s="12">
        <f t="shared" si="11"/>
        <v>17.85952</v>
      </c>
      <c r="W46" s="12">
        <f t="shared" si="12"/>
        <v>44.6488</v>
      </c>
      <c r="X46" s="12">
        <f t="shared" si="13"/>
        <v>59.2</v>
      </c>
      <c r="Y46" s="14">
        <f t="shared" si="14"/>
        <v>1543.355413</v>
      </c>
      <c r="Z46" s="15">
        <f t="shared" si="15"/>
        <v>4223.355413</v>
      </c>
      <c r="AA46" s="18"/>
    </row>
    <row r="47" ht="21.0" customHeight="1">
      <c r="A47" s="21" t="s">
        <v>98</v>
      </c>
      <c r="B47" s="9" t="s">
        <v>105</v>
      </c>
      <c r="C47" s="17"/>
      <c r="D47" s="9" t="s">
        <v>106</v>
      </c>
      <c r="E47" s="11">
        <v>44756.0</v>
      </c>
      <c r="F47" s="20">
        <v>2680.0</v>
      </c>
      <c r="G47" s="12">
        <v>0.0</v>
      </c>
      <c r="H47" s="12">
        <v>0.0</v>
      </c>
      <c r="I47" s="12">
        <v>0.0</v>
      </c>
      <c r="J47" s="12">
        <v>0.0</v>
      </c>
      <c r="K47" s="12">
        <v>0.0</v>
      </c>
      <c r="L47" s="13">
        <f t="shared" si="1"/>
        <v>2680</v>
      </c>
      <c r="M47" s="12">
        <f t="shared" si="2"/>
        <v>536</v>
      </c>
      <c r="N47" s="12">
        <f t="shared" si="3"/>
        <v>26.8</v>
      </c>
      <c r="O47" s="12">
        <f t="shared" si="4"/>
        <v>40.2</v>
      </c>
      <c r="P47" s="12">
        <f t="shared" si="5"/>
        <v>214.4</v>
      </c>
      <c r="Q47" s="12">
        <f t="shared" si="6"/>
        <v>223.244</v>
      </c>
      <c r="R47" s="12">
        <f t="shared" si="7"/>
        <v>74.41466667</v>
      </c>
      <c r="S47" s="12">
        <f t="shared" si="8"/>
        <v>23.81269333</v>
      </c>
      <c r="T47" s="12">
        <f t="shared" si="9"/>
        <v>59.53173333</v>
      </c>
      <c r="U47" s="12">
        <f t="shared" si="10"/>
        <v>223.244</v>
      </c>
      <c r="V47" s="12">
        <f t="shared" si="11"/>
        <v>17.85952</v>
      </c>
      <c r="W47" s="12">
        <f t="shared" si="12"/>
        <v>44.6488</v>
      </c>
      <c r="X47" s="12">
        <f t="shared" si="13"/>
        <v>59.2</v>
      </c>
      <c r="Y47" s="14">
        <f t="shared" si="14"/>
        <v>1543.355413</v>
      </c>
      <c r="Z47" s="15">
        <f t="shared" si="15"/>
        <v>4223.355413</v>
      </c>
      <c r="AA47" s="18"/>
    </row>
    <row r="48" ht="21.0" customHeight="1">
      <c r="A48" s="21" t="s">
        <v>98</v>
      </c>
      <c r="B48" s="9" t="s">
        <v>107</v>
      </c>
      <c r="C48" s="17"/>
      <c r="D48" s="9" t="s">
        <v>108</v>
      </c>
      <c r="E48" s="11">
        <v>45132.0</v>
      </c>
      <c r="F48" s="20">
        <v>2400.0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3">
        <f t="shared" si="1"/>
        <v>2400</v>
      </c>
      <c r="M48" s="12">
        <f t="shared" si="2"/>
        <v>480</v>
      </c>
      <c r="N48" s="12">
        <f t="shared" si="3"/>
        <v>24</v>
      </c>
      <c r="O48" s="12">
        <f t="shared" si="4"/>
        <v>36</v>
      </c>
      <c r="P48" s="12">
        <f t="shared" si="5"/>
        <v>192</v>
      </c>
      <c r="Q48" s="12">
        <f t="shared" si="6"/>
        <v>199.92</v>
      </c>
      <c r="R48" s="12">
        <f t="shared" si="7"/>
        <v>66.64</v>
      </c>
      <c r="S48" s="12">
        <f t="shared" si="8"/>
        <v>21.3248</v>
      </c>
      <c r="T48" s="12">
        <f t="shared" si="9"/>
        <v>53.312</v>
      </c>
      <c r="U48" s="12">
        <f t="shared" si="10"/>
        <v>199.92</v>
      </c>
      <c r="V48" s="12">
        <f t="shared" si="11"/>
        <v>15.9936</v>
      </c>
      <c r="W48" s="12">
        <f t="shared" si="12"/>
        <v>39.984</v>
      </c>
      <c r="X48" s="12">
        <f t="shared" si="13"/>
        <v>76</v>
      </c>
      <c r="Y48" s="14">
        <f t="shared" si="14"/>
        <v>1405.0944</v>
      </c>
      <c r="Z48" s="15">
        <f t="shared" si="15"/>
        <v>3805.0944</v>
      </c>
      <c r="AA48" s="18"/>
    </row>
    <row r="49" ht="21.0" customHeight="1">
      <c r="A49" s="21" t="s">
        <v>109</v>
      </c>
      <c r="B49" s="9" t="s">
        <v>110</v>
      </c>
      <c r="C49" s="17"/>
      <c r="D49" s="9" t="s">
        <v>111</v>
      </c>
      <c r="E49" s="11">
        <v>45605.0</v>
      </c>
      <c r="F49" s="20">
        <v>3710.0</v>
      </c>
      <c r="G49" s="12">
        <f t="shared" ref="G49:G50" si="23">F49*40%</f>
        <v>1484</v>
      </c>
      <c r="H49" s="12">
        <v>0.0</v>
      </c>
      <c r="I49" s="12">
        <v>0.0</v>
      </c>
      <c r="J49" s="12">
        <v>0.0</v>
      </c>
      <c r="K49" s="12">
        <v>0.0</v>
      </c>
      <c r="L49" s="13">
        <f t="shared" si="1"/>
        <v>5194</v>
      </c>
      <c r="M49" s="12">
        <f t="shared" si="2"/>
        <v>1038.8</v>
      </c>
      <c r="N49" s="12">
        <f t="shared" si="3"/>
        <v>37.1</v>
      </c>
      <c r="O49" s="12">
        <f t="shared" si="4"/>
        <v>55.65</v>
      </c>
      <c r="P49" s="12">
        <f t="shared" si="5"/>
        <v>415.52</v>
      </c>
      <c r="Q49" s="12">
        <f t="shared" si="6"/>
        <v>309.043</v>
      </c>
      <c r="R49" s="12">
        <f t="shared" si="7"/>
        <v>103.0143333</v>
      </c>
      <c r="S49" s="12">
        <f t="shared" si="8"/>
        <v>32.96458667</v>
      </c>
      <c r="T49" s="12">
        <f t="shared" si="9"/>
        <v>82.41146667</v>
      </c>
      <c r="U49" s="12">
        <f t="shared" si="10"/>
        <v>309.043</v>
      </c>
      <c r="V49" s="12">
        <f t="shared" si="11"/>
        <v>24.72344</v>
      </c>
      <c r="W49" s="12">
        <f t="shared" si="12"/>
        <v>61.8086</v>
      </c>
      <c r="X49" s="12">
        <f t="shared" si="13"/>
        <v>-2.6</v>
      </c>
      <c r="Y49" s="14">
        <f t="shared" si="14"/>
        <v>2467.478427</v>
      </c>
      <c r="Z49" s="15">
        <f t="shared" si="15"/>
        <v>7661.478427</v>
      </c>
      <c r="AA49" s="18"/>
    </row>
    <row r="50" ht="21.0" customHeight="1">
      <c r="A50" s="21" t="s">
        <v>109</v>
      </c>
      <c r="B50" s="9" t="s">
        <v>112</v>
      </c>
      <c r="C50" s="17"/>
      <c r="D50" s="9" t="s">
        <v>113</v>
      </c>
      <c r="E50" s="11">
        <v>44093.0</v>
      </c>
      <c r="F50" s="20">
        <v>3561.0</v>
      </c>
      <c r="G50" s="12">
        <f t="shared" si="23"/>
        <v>1424.4</v>
      </c>
      <c r="H50" s="12">
        <v>0.0</v>
      </c>
      <c r="I50" s="12">
        <f>F50*10%</f>
        <v>356.1</v>
      </c>
      <c r="J50" s="12">
        <v>0.0</v>
      </c>
      <c r="K50" s="12">
        <v>0.0</v>
      </c>
      <c r="L50" s="13">
        <f t="shared" si="1"/>
        <v>5341.5</v>
      </c>
      <c r="M50" s="12">
        <f t="shared" si="2"/>
        <v>1068.3</v>
      </c>
      <c r="N50" s="12">
        <f t="shared" si="3"/>
        <v>35.61</v>
      </c>
      <c r="O50" s="12">
        <f t="shared" si="4"/>
        <v>53.415</v>
      </c>
      <c r="P50" s="12">
        <f t="shared" si="5"/>
        <v>427.32</v>
      </c>
      <c r="Q50" s="12">
        <f t="shared" si="6"/>
        <v>296.6313</v>
      </c>
      <c r="R50" s="12">
        <f t="shared" si="7"/>
        <v>98.8771</v>
      </c>
      <c r="S50" s="12">
        <f t="shared" si="8"/>
        <v>31.640672</v>
      </c>
      <c r="T50" s="12">
        <f t="shared" si="9"/>
        <v>79.10168</v>
      </c>
      <c r="U50" s="12">
        <f t="shared" si="10"/>
        <v>296.6313</v>
      </c>
      <c r="V50" s="12">
        <f t="shared" si="11"/>
        <v>23.730504</v>
      </c>
      <c r="W50" s="12">
        <f t="shared" si="12"/>
        <v>59.32626</v>
      </c>
      <c r="X50" s="12">
        <f t="shared" si="13"/>
        <v>6.34</v>
      </c>
      <c r="Y50" s="14">
        <f t="shared" si="14"/>
        <v>2476.923816</v>
      </c>
      <c r="Z50" s="15">
        <f t="shared" si="15"/>
        <v>7818.423816</v>
      </c>
      <c r="AA50" s="18"/>
    </row>
    <row r="51" ht="21.0" customHeight="1">
      <c r="A51" s="21" t="s">
        <v>109</v>
      </c>
      <c r="B51" s="9" t="s">
        <v>114</v>
      </c>
      <c r="C51" s="17"/>
      <c r="D51" s="9" t="s">
        <v>115</v>
      </c>
      <c r="E51" s="11">
        <v>44327.0</v>
      </c>
      <c r="F51" s="20">
        <v>3500.0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3">
        <f t="shared" si="1"/>
        <v>3500</v>
      </c>
      <c r="M51" s="12">
        <f t="shared" si="2"/>
        <v>700</v>
      </c>
      <c r="N51" s="12">
        <f t="shared" si="3"/>
        <v>35</v>
      </c>
      <c r="O51" s="12">
        <f t="shared" si="4"/>
        <v>52.5</v>
      </c>
      <c r="P51" s="12">
        <f t="shared" si="5"/>
        <v>280</v>
      </c>
      <c r="Q51" s="12">
        <f t="shared" si="6"/>
        <v>291.55</v>
      </c>
      <c r="R51" s="12">
        <f t="shared" si="7"/>
        <v>97.18333333</v>
      </c>
      <c r="S51" s="12">
        <f t="shared" si="8"/>
        <v>31.09866667</v>
      </c>
      <c r="T51" s="12">
        <f t="shared" si="9"/>
        <v>77.74666667</v>
      </c>
      <c r="U51" s="12">
        <f t="shared" si="10"/>
        <v>291.55</v>
      </c>
      <c r="V51" s="12">
        <f t="shared" si="11"/>
        <v>23.324</v>
      </c>
      <c r="W51" s="12">
        <f t="shared" si="12"/>
        <v>58.31</v>
      </c>
      <c r="X51" s="12">
        <f t="shared" si="13"/>
        <v>10</v>
      </c>
      <c r="Y51" s="14">
        <f t="shared" si="14"/>
        <v>1948.262667</v>
      </c>
      <c r="Z51" s="15">
        <f t="shared" si="15"/>
        <v>5448.262667</v>
      </c>
      <c r="AA51" s="18"/>
    </row>
    <row r="52" ht="21.0" customHeight="1">
      <c r="A52" s="21" t="s">
        <v>109</v>
      </c>
      <c r="B52" s="9" t="s">
        <v>114</v>
      </c>
      <c r="C52" s="17"/>
      <c r="D52" s="9" t="s">
        <v>116</v>
      </c>
      <c r="E52" s="26">
        <v>45415.0</v>
      </c>
      <c r="F52" s="20">
        <v>3500.0</v>
      </c>
      <c r="G52" s="12">
        <v>0.0</v>
      </c>
      <c r="H52" s="12">
        <v>0.0</v>
      </c>
      <c r="I52" s="12">
        <v>0.0</v>
      </c>
      <c r="J52" s="12">
        <v>0.0</v>
      </c>
      <c r="K52" s="12">
        <v>0.0</v>
      </c>
      <c r="L52" s="13">
        <f t="shared" si="1"/>
        <v>3500</v>
      </c>
      <c r="M52" s="12">
        <f t="shared" si="2"/>
        <v>700</v>
      </c>
      <c r="N52" s="12">
        <f t="shared" si="3"/>
        <v>35</v>
      </c>
      <c r="O52" s="12">
        <f t="shared" si="4"/>
        <v>52.5</v>
      </c>
      <c r="P52" s="12">
        <f t="shared" si="5"/>
        <v>280</v>
      </c>
      <c r="Q52" s="12">
        <f t="shared" si="6"/>
        <v>291.55</v>
      </c>
      <c r="R52" s="12">
        <f t="shared" si="7"/>
        <v>97.18333333</v>
      </c>
      <c r="S52" s="12">
        <f t="shared" si="8"/>
        <v>31.09866667</v>
      </c>
      <c r="T52" s="12">
        <f t="shared" si="9"/>
        <v>77.74666667</v>
      </c>
      <c r="U52" s="12">
        <f t="shared" si="10"/>
        <v>291.55</v>
      </c>
      <c r="V52" s="12">
        <f t="shared" si="11"/>
        <v>23.324</v>
      </c>
      <c r="W52" s="12">
        <f t="shared" si="12"/>
        <v>58.31</v>
      </c>
      <c r="X52" s="12">
        <f t="shared" si="13"/>
        <v>10</v>
      </c>
      <c r="Y52" s="14">
        <f t="shared" si="14"/>
        <v>1948.262667</v>
      </c>
      <c r="Z52" s="15">
        <f t="shared" si="15"/>
        <v>5448.262667</v>
      </c>
      <c r="AA52" s="18"/>
    </row>
    <row r="53" ht="21.0" customHeight="1">
      <c r="A53" s="21" t="s">
        <v>109</v>
      </c>
      <c r="B53" s="9" t="s">
        <v>117</v>
      </c>
      <c r="C53" s="17"/>
      <c r="D53" s="9" t="s">
        <v>118</v>
      </c>
      <c r="E53" s="11">
        <v>44546.0</v>
      </c>
      <c r="F53" s="20">
        <v>2905.0</v>
      </c>
      <c r="G53" s="12">
        <v>0.0</v>
      </c>
      <c r="H53" s="12">
        <v>0.0</v>
      </c>
      <c r="I53" s="12">
        <v>0.0</v>
      </c>
      <c r="J53" s="12">
        <v>0.0</v>
      </c>
      <c r="K53" s="12">
        <v>0.0</v>
      </c>
      <c r="L53" s="13">
        <f t="shared" si="1"/>
        <v>2905</v>
      </c>
      <c r="M53" s="12">
        <f t="shared" si="2"/>
        <v>581</v>
      </c>
      <c r="N53" s="12">
        <f t="shared" si="3"/>
        <v>29.05</v>
      </c>
      <c r="O53" s="12">
        <f t="shared" si="4"/>
        <v>43.575</v>
      </c>
      <c r="P53" s="12">
        <f t="shared" si="5"/>
        <v>232.4</v>
      </c>
      <c r="Q53" s="12">
        <f t="shared" si="6"/>
        <v>241.9865</v>
      </c>
      <c r="R53" s="12">
        <f t="shared" si="7"/>
        <v>80.66216667</v>
      </c>
      <c r="S53" s="12">
        <f t="shared" si="8"/>
        <v>25.81189333</v>
      </c>
      <c r="T53" s="12">
        <f t="shared" si="9"/>
        <v>64.52973333</v>
      </c>
      <c r="U53" s="12">
        <f t="shared" si="10"/>
        <v>241.9865</v>
      </c>
      <c r="V53" s="12">
        <f t="shared" si="11"/>
        <v>19.35892</v>
      </c>
      <c r="W53" s="12">
        <f t="shared" si="12"/>
        <v>48.3973</v>
      </c>
      <c r="X53" s="12">
        <f t="shared" si="13"/>
        <v>45.7</v>
      </c>
      <c r="Y53" s="14">
        <f t="shared" si="14"/>
        <v>1654.458013</v>
      </c>
      <c r="Z53" s="15">
        <f t="shared" si="15"/>
        <v>4559.458013</v>
      </c>
      <c r="AA53" s="18"/>
    </row>
    <row r="54" ht="21.0" customHeight="1">
      <c r="A54" s="21" t="s">
        <v>109</v>
      </c>
      <c r="B54" s="9" t="s">
        <v>117</v>
      </c>
      <c r="C54" s="17"/>
      <c r="D54" s="9" t="s">
        <v>119</v>
      </c>
      <c r="E54" s="11">
        <v>44425.0</v>
      </c>
      <c r="F54" s="20">
        <v>2770.0</v>
      </c>
      <c r="G54" s="12">
        <v>0.0</v>
      </c>
      <c r="H54" s="12">
        <v>0.0</v>
      </c>
      <c r="I54" s="12">
        <v>0.0</v>
      </c>
      <c r="J54" s="12">
        <v>0.0</v>
      </c>
      <c r="K54" s="12">
        <v>0.0</v>
      </c>
      <c r="L54" s="13">
        <f t="shared" si="1"/>
        <v>2770</v>
      </c>
      <c r="M54" s="12">
        <f t="shared" si="2"/>
        <v>554</v>
      </c>
      <c r="N54" s="12">
        <f t="shared" si="3"/>
        <v>27.7</v>
      </c>
      <c r="O54" s="12">
        <f t="shared" si="4"/>
        <v>41.55</v>
      </c>
      <c r="P54" s="12">
        <f t="shared" si="5"/>
        <v>221.6</v>
      </c>
      <c r="Q54" s="12">
        <f t="shared" si="6"/>
        <v>230.741</v>
      </c>
      <c r="R54" s="12">
        <f t="shared" si="7"/>
        <v>76.91366667</v>
      </c>
      <c r="S54" s="12">
        <f t="shared" si="8"/>
        <v>24.61237333</v>
      </c>
      <c r="T54" s="12">
        <f t="shared" si="9"/>
        <v>61.53093333</v>
      </c>
      <c r="U54" s="12">
        <f t="shared" si="10"/>
        <v>230.741</v>
      </c>
      <c r="V54" s="12">
        <f t="shared" si="11"/>
        <v>18.45928</v>
      </c>
      <c r="W54" s="12">
        <f t="shared" si="12"/>
        <v>46.1482</v>
      </c>
      <c r="X54" s="12">
        <f t="shared" si="13"/>
        <v>53.8</v>
      </c>
      <c r="Y54" s="14">
        <f t="shared" si="14"/>
        <v>1587.796453</v>
      </c>
      <c r="Z54" s="15">
        <f t="shared" si="15"/>
        <v>4357.796453</v>
      </c>
      <c r="AA54" s="18"/>
    </row>
    <row r="55" ht="21.0" customHeight="1">
      <c r="A55" s="21" t="s">
        <v>109</v>
      </c>
      <c r="B55" s="9" t="s">
        <v>120</v>
      </c>
      <c r="C55" s="17"/>
      <c r="D55" s="9" t="s">
        <v>121</v>
      </c>
      <c r="E55" s="11">
        <v>45597.0</v>
      </c>
      <c r="F55" s="20">
        <v>2380.0</v>
      </c>
      <c r="G55" s="12">
        <v>0.0</v>
      </c>
      <c r="H55" s="12">
        <v>0.0</v>
      </c>
      <c r="I55" s="12">
        <v>0.0</v>
      </c>
      <c r="J55" s="12">
        <v>0.0</v>
      </c>
      <c r="K55" s="12">
        <v>0.0</v>
      </c>
      <c r="L55" s="13">
        <f t="shared" si="1"/>
        <v>2380</v>
      </c>
      <c r="M55" s="12">
        <f t="shared" si="2"/>
        <v>476</v>
      </c>
      <c r="N55" s="12">
        <f t="shared" si="3"/>
        <v>23.8</v>
      </c>
      <c r="O55" s="12">
        <f t="shared" si="4"/>
        <v>35.7</v>
      </c>
      <c r="P55" s="12">
        <f t="shared" si="5"/>
        <v>190.4</v>
      </c>
      <c r="Q55" s="12">
        <f t="shared" si="6"/>
        <v>198.254</v>
      </c>
      <c r="R55" s="12">
        <f t="shared" si="7"/>
        <v>66.08466667</v>
      </c>
      <c r="S55" s="12">
        <f t="shared" si="8"/>
        <v>21.14709333</v>
      </c>
      <c r="T55" s="12">
        <f t="shared" si="9"/>
        <v>52.86773333</v>
      </c>
      <c r="U55" s="12">
        <f t="shared" si="10"/>
        <v>198.254</v>
      </c>
      <c r="V55" s="12">
        <f t="shared" si="11"/>
        <v>15.86032</v>
      </c>
      <c r="W55" s="12">
        <f t="shared" si="12"/>
        <v>39.6508</v>
      </c>
      <c r="X55" s="12">
        <f t="shared" si="13"/>
        <v>77.2</v>
      </c>
      <c r="Y55" s="14">
        <f t="shared" si="14"/>
        <v>1395.218613</v>
      </c>
      <c r="Z55" s="15">
        <f t="shared" si="15"/>
        <v>3775.218613</v>
      </c>
      <c r="AA55" s="18"/>
    </row>
    <row r="56" ht="21.0" customHeight="1">
      <c r="A56" s="21" t="s">
        <v>109</v>
      </c>
      <c r="B56" s="9" t="s">
        <v>120</v>
      </c>
      <c r="C56" s="17"/>
      <c r="D56" s="9" t="s">
        <v>122</v>
      </c>
      <c r="E56" s="11">
        <v>45653.0</v>
      </c>
      <c r="F56" s="20">
        <v>2380.0</v>
      </c>
      <c r="G56" s="12">
        <v>0.0</v>
      </c>
      <c r="H56" s="12">
        <v>0.0</v>
      </c>
      <c r="I56" s="12">
        <v>0.0</v>
      </c>
      <c r="J56" s="12">
        <v>0.0</v>
      </c>
      <c r="K56" s="12">
        <v>0.0</v>
      </c>
      <c r="L56" s="13">
        <f t="shared" si="1"/>
        <v>2380</v>
      </c>
      <c r="M56" s="12">
        <f t="shared" si="2"/>
        <v>476</v>
      </c>
      <c r="N56" s="12">
        <f t="shared" si="3"/>
        <v>23.8</v>
      </c>
      <c r="O56" s="12">
        <f t="shared" si="4"/>
        <v>35.7</v>
      </c>
      <c r="P56" s="12">
        <f t="shared" si="5"/>
        <v>190.4</v>
      </c>
      <c r="Q56" s="12">
        <f t="shared" si="6"/>
        <v>198.254</v>
      </c>
      <c r="R56" s="12">
        <f t="shared" si="7"/>
        <v>66.08466667</v>
      </c>
      <c r="S56" s="12">
        <f t="shared" si="8"/>
        <v>21.14709333</v>
      </c>
      <c r="T56" s="12">
        <f t="shared" si="9"/>
        <v>52.86773333</v>
      </c>
      <c r="U56" s="12">
        <f t="shared" si="10"/>
        <v>198.254</v>
      </c>
      <c r="V56" s="12">
        <f t="shared" si="11"/>
        <v>15.86032</v>
      </c>
      <c r="W56" s="12">
        <f t="shared" si="12"/>
        <v>39.6508</v>
      </c>
      <c r="X56" s="12">
        <f t="shared" si="13"/>
        <v>77.2</v>
      </c>
      <c r="Y56" s="14">
        <f t="shared" si="14"/>
        <v>1395.218613</v>
      </c>
      <c r="Z56" s="15">
        <f t="shared" si="15"/>
        <v>3775.218613</v>
      </c>
      <c r="AA56" s="18"/>
    </row>
    <row r="57" ht="21.0" customHeight="1">
      <c r="A57" s="21" t="s">
        <v>109</v>
      </c>
      <c r="B57" s="9" t="s">
        <v>123</v>
      </c>
      <c r="C57" s="17"/>
      <c r="D57" s="22" t="s">
        <v>124</v>
      </c>
      <c r="E57" s="25">
        <v>45695.0</v>
      </c>
      <c r="F57" s="12">
        <v>2050.0</v>
      </c>
      <c r="G57" s="12">
        <v>0.0</v>
      </c>
      <c r="H57" s="12">
        <v>0.0</v>
      </c>
      <c r="I57" s="12">
        <v>0.0</v>
      </c>
      <c r="J57" s="12">
        <v>0.0</v>
      </c>
      <c r="K57" s="12">
        <v>0.0</v>
      </c>
      <c r="L57" s="13">
        <f t="shared" si="1"/>
        <v>2050</v>
      </c>
      <c r="M57" s="12">
        <f t="shared" si="2"/>
        <v>410</v>
      </c>
      <c r="N57" s="12">
        <f t="shared" si="3"/>
        <v>20.5</v>
      </c>
      <c r="O57" s="12">
        <f t="shared" si="4"/>
        <v>30.75</v>
      </c>
      <c r="P57" s="12">
        <f t="shared" si="5"/>
        <v>164</v>
      </c>
      <c r="Q57" s="12">
        <f t="shared" si="6"/>
        <v>170.765</v>
      </c>
      <c r="R57" s="12">
        <f t="shared" si="7"/>
        <v>56.92166667</v>
      </c>
      <c r="S57" s="12">
        <f t="shared" si="8"/>
        <v>18.21493333</v>
      </c>
      <c r="T57" s="12">
        <f t="shared" si="9"/>
        <v>45.53733333</v>
      </c>
      <c r="U57" s="12">
        <f t="shared" si="10"/>
        <v>170.765</v>
      </c>
      <c r="V57" s="12">
        <f t="shared" si="11"/>
        <v>13.6612</v>
      </c>
      <c r="W57" s="12">
        <f t="shared" si="12"/>
        <v>34.153</v>
      </c>
      <c r="X57" s="12">
        <f t="shared" si="13"/>
        <v>97</v>
      </c>
      <c r="Y57" s="14">
        <f t="shared" si="14"/>
        <v>1232.268133</v>
      </c>
      <c r="Z57" s="15">
        <f t="shared" si="15"/>
        <v>3282.268133</v>
      </c>
      <c r="AA57" s="18"/>
    </row>
    <row r="58" ht="21.0" customHeight="1">
      <c r="A58" s="21" t="s">
        <v>109</v>
      </c>
      <c r="B58" s="9" t="s">
        <v>125</v>
      </c>
      <c r="C58" s="17"/>
      <c r="D58" s="24" t="s">
        <v>126</v>
      </c>
      <c r="E58" s="25">
        <v>45806.0</v>
      </c>
      <c r="F58" s="12">
        <v>3485.0</v>
      </c>
      <c r="G58" s="12">
        <v>0.0</v>
      </c>
      <c r="H58" s="12">
        <v>0.0</v>
      </c>
      <c r="I58" s="12">
        <v>0.0</v>
      </c>
      <c r="J58" s="12">
        <v>0.0</v>
      </c>
      <c r="K58" s="12">
        <v>0.0</v>
      </c>
      <c r="L58" s="13">
        <f t="shared" si="1"/>
        <v>3485</v>
      </c>
      <c r="M58" s="12">
        <f t="shared" si="2"/>
        <v>697</v>
      </c>
      <c r="N58" s="12">
        <f t="shared" si="3"/>
        <v>34.85</v>
      </c>
      <c r="O58" s="12">
        <f t="shared" si="4"/>
        <v>52.275</v>
      </c>
      <c r="P58" s="12">
        <f t="shared" si="5"/>
        <v>278.8</v>
      </c>
      <c r="Q58" s="12">
        <f t="shared" si="6"/>
        <v>290.3005</v>
      </c>
      <c r="R58" s="12">
        <f t="shared" si="7"/>
        <v>96.76683333</v>
      </c>
      <c r="S58" s="12">
        <f t="shared" si="8"/>
        <v>30.96538667</v>
      </c>
      <c r="T58" s="12">
        <f t="shared" si="9"/>
        <v>77.41346667</v>
      </c>
      <c r="U58" s="12">
        <f t="shared" si="10"/>
        <v>290.3005</v>
      </c>
      <c r="V58" s="12">
        <f t="shared" si="11"/>
        <v>23.22404</v>
      </c>
      <c r="W58" s="12">
        <f t="shared" si="12"/>
        <v>58.0601</v>
      </c>
      <c r="X58" s="12">
        <f t="shared" si="13"/>
        <v>10.9</v>
      </c>
      <c r="Y58" s="14">
        <f t="shared" si="14"/>
        <v>1940.855827</v>
      </c>
      <c r="Z58" s="15">
        <f t="shared" si="15"/>
        <v>5425.855827</v>
      </c>
      <c r="AA58" s="18"/>
    </row>
    <row r="59" ht="21.0" customHeight="1">
      <c r="A59" s="21" t="s">
        <v>109</v>
      </c>
      <c r="B59" s="9" t="s">
        <v>127</v>
      </c>
      <c r="C59" s="17"/>
      <c r="D59" s="9" t="s">
        <v>128</v>
      </c>
      <c r="E59" s="25">
        <v>45784.0</v>
      </c>
      <c r="F59" s="12">
        <v>2190.0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3">
        <f t="shared" si="1"/>
        <v>2190</v>
      </c>
      <c r="M59" s="12">
        <f t="shared" si="2"/>
        <v>438</v>
      </c>
      <c r="N59" s="12">
        <f t="shared" si="3"/>
        <v>21.9</v>
      </c>
      <c r="O59" s="12">
        <f t="shared" si="4"/>
        <v>32.85</v>
      </c>
      <c r="P59" s="12">
        <f t="shared" si="5"/>
        <v>175.2</v>
      </c>
      <c r="Q59" s="12">
        <f t="shared" si="6"/>
        <v>182.427</v>
      </c>
      <c r="R59" s="12">
        <f t="shared" si="7"/>
        <v>60.809</v>
      </c>
      <c r="S59" s="12">
        <f t="shared" si="8"/>
        <v>19.45888</v>
      </c>
      <c r="T59" s="12">
        <f t="shared" si="9"/>
        <v>48.6472</v>
      </c>
      <c r="U59" s="12">
        <f t="shared" si="10"/>
        <v>182.427</v>
      </c>
      <c r="V59" s="12">
        <f t="shared" si="11"/>
        <v>14.59416</v>
      </c>
      <c r="W59" s="12">
        <f t="shared" si="12"/>
        <v>36.4854</v>
      </c>
      <c r="X59" s="12">
        <f t="shared" si="13"/>
        <v>88.6</v>
      </c>
      <c r="Y59" s="14">
        <f t="shared" si="14"/>
        <v>1301.39864</v>
      </c>
      <c r="Z59" s="15">
        <f t="shared" si="15"/>
        <v>3491.39864</v>
      </c>
      <c r="AA59" s="18"/>
    </row>
    <row r="60" ht="21.0" customHeight="1">
      <c r="A60" s="21" t="s">
        <v>109</v>
      </c>
      <c r="B60" s="9" t="s">
        <v>127</v>
      </c>
      <c r="C60" s="17"/>
      <c r="D60" s="9" t="s">
        <v>129</v>
      </c>
      <c r="E60" s="25">
        <v>45513.0</v>
      </c>
      <c r="F60" s="12">
        <v>2190.0</v>
      </c>
      <c r="G60" s="12">
        <v>0.0</v>
      </c>
      <c r="H60" s="12">
        <v>0.0</v>
      </c>
      <c r="I60" s="12">
        <v>0.0</v>
      </c>
      <c r="J60" s="12">
        <v>0.0</v>
      </c>
      <c r="K60" s="12">
        <v>0.0</v>
      </c>
      <c r="L60" s="13">
        <f t="shared" si="1"/>
        <v>2190</v>
      </c>
      <c r="M60" s="12">
        <f t="shared" si="2"/>
        <v>438</v>
      </c>
      <c r="N60" s="12">
        <f t="shared" si="3"/>
        <v>21.9</v>
      </c>
      <c r="O60" s="12">
        <f t="shared" si="4"/>
        <v>32.85</v>
      </c>
      <c r="P60" s="12">
        <f t="shared" si="5"/>
        <v>175.2</v>
      </c>
      <c r="Q60" s="12">
        <f t="shared" si="6"/>
        <v>182.427</v>
      </c>
      <c r="R60" s="12">
        <f t="shared" si="7"/>
        <v>60.809</v>
      </c>
      <c r="S60" s="12">
        <f t="shared" si="8"/>
        <v>19.45888</v>
      </c>
      <c r="T60" s="12">
        <f t="shared" si="9"/>
        <v>48.6472</v>
      </c>
      <c r="U60" s="12">
        <f t="shared" si="10"/>
        <v>182.427</v>
      </c>
      <c r="V60" s="12">
        <f t="shared" si="11"/>
        <v>14.59416</v>
      </c>
      <c r="W60" s="12">
        <f t="shared" si="12"/>
        <v>36.4854</v>
      </c>
      <c r="X60" s="12">
        <f t="shared" si="13"/>
        <v>88.6</v>
      </c>
      <c r="Y60" s="14">
        <f t="shared" si="14"/>
        <v>1301.39864</v>
      </c>
      <c r="Z60" s="15">
        <f t="shared" si="15"/>
        <v>3491.39864</v>
      </c>
      <c r="AA60" s="18"/>
    </row>
    <row r="61" ht="21.0" customHeight="1">
      <c r="A61" s="21" t="s">
        <v>109</v>
      </c>
      <c r="B61" s="9" t="s">
        <v>127</v>
      </c>
      <c r="C61" s="27"/>
      <c r="D61" s="24" t="s">
        <v>130</v>
      </c>
      <c r="E61" s="25">
        <v>45814.0</v>
      </c>
      <c r="F61" s="12">
        <v>2190.0</v>
      </c>
      <c r="G61" s="12">
        <v>0.0</v>
      </c>
      <c r="H61" s="12">
        <v>0.0</v>
      </c>
      <c r="I61" s="12">
        <v>0.0</v>
      </c>
      <c r="J61" s="12">
        <v>0.0</v>
      </c>
      <c r="K61" s="12">
        <v>0.0</v>
      </c>
      <c r="L61" s="13">
        <f t="shared" si="1"/>
        <v>2190</v>
      </c>
      <c r="M61" s="12">
        <f t="shared" si="2"/>
        <v>438</v>
      </c>
      <c r="N61" s="12">
        <f t="shared" si="3"/>
        <v>21.9</v>
      </c>
      <c r="O61" s="12">
        <f t="shared" si="4"/>
        <v>32.85</v>
      </c>
      <c r="P61" s="12">
        <f t="shared" si="5"/>
        <v>175.2</v>
      </c>
      <c r="Q61" s="12">
        <f t="shared" si="6"/>
        <v>182.427</v>
      </c>
      <c r="R61" s="12">
        <f t="shared" si="7"/>
        <v>60.809</v>
      </c>
      <c r="S61" s="12">
        <f t="shared" si="8"/>
        <v>19.45888</v>
      </c>
      <c r="T61" s="12">
        <f t="shared" si="9"/>
        <v>48.6472</v>
      </c>
      <c r="U61" s="12">
        <f t="shared" si="10"/>
        <v>182.427</v>
      </c>
      <c r="V61" s="12">
        <f t="shared" si="11"/>
        <v>14.59416</v>
      </c>
      <c r="W61" s="12">
        <f t="shared" si="12"/>
        <v>36.4854</v>
      </c>
      <c r="X61" s="12">
        <f t="shared" si="13"/>
        <v>88.6</v>
      </c>
      <c r="Y61" s="14">
        <f t="shared" si="14"/>
        <v>1301.39864</v>
      </c>
      <c r="Z61" s="15">
        <f t="shared" si="15"/>
        <v>3491.39864</v>
      </c>
      <c r="AA61" s="18"/>
    </row>
    <row r="62" ht="21.0" customHeight="1">
      <c r="A62" s="21" t="s">
        <v>109</v>
      </c>
      <c r="B62" s="24" t="s">
        <v>131</v>
      </c>
      <c r="C62" s="28"/>
      <c r="D62" s="24" t="s">
        <v>132</v>
      </c>
      <c r="E62" s="25">
        <v>45695.0</v>
      </c>
      <c r="F62" s="12">
        <v>2371.0</v>
      </c>
      <c r="G62" s="12">
        <v>0.0</v>
      </c>
      <c r="H62" s="12">
        <v>0.0</v>
      </c>
      <c r="I62" s="12">
        <v>0.0</v>
      </c>
      <c r="J62" s="12">
        <v>0.0</v>
      </c>
      <c r="K62" s="12">
        <v>0.0</v>
      </c>
      <c r="L62" s="13">
        <f t="shared" si="1"/>
        <v>2371</v>
      </c>
      <c r="M62" s="12">
        <f t="shared" si="2"/>
        <v>474.2</v>
      </c>
      <c r="N62" s="12">
        <f t="shared" si="3"/>
        <v>23.71</v>
      </c>
      <c r="O62" s="12">
        <f t="shared" si="4"/>
        <v>35.565</v>
      </c>
      <c r="P62" s="12">
        <f t="shared" si="5"/>
        <v>189.68</v>
      </c>
      <c r="Q62" s="12">
        <f t="shared" si="6"/>
        <v>197.5043</v>
      </c>
      <c r="R62" s="12">
        <f t="shared" si="7"/>
        <v>65.83476667</v>
      </c>
      <c r="S62" s="12">
        <f t="shared" si="8"/>
        <v>21.06712533</v>
      </c>
      <c r="T62" s="12">
        <f t="shared" si="9"/>
        <v>52.66781333</v>
      </c>
      <c r="U62" s="12">
        <f t="shared" si="10"/>
        <v>197.5043</v>
      </c>
      <c r="V62" s="12">
        <f t="shared" si="11"/>
        <v>15.800344</v>
      </c>
      <c r="W62" s="12">
        <f t="shared" si="12"/>
        <v>39.50086</v>
      </c>
      <c r="X62" s="12">
        <f t="shared" si="13"/>
        <v>77.74</v>
      </c>
      <c r="Y62" s="14">
        <f t="shared" si="14"/>
        <v>1390.774509</v>
      </c>
      <c r="Z62" s="15">
        <f t="shared" si="15"/>
        <v>3761.774509</v>
      </c>
      <c r="AA62" s="18"/>
    </row>
    <row r="63" ht="21.0" customHeight="1">
      <c r="A63" s="21" t="s">
        <v>133</v>
      </c>
      <c r="B63" s="9" t="s">
        <v>134</v>
      </c>
      <c r="D63" s="9" t="s">
        <v>135</v>
      </c>
      <c r="E63" s="11">
        <v>43013.0</v>
      </c>
      <c r="F63" s="20">
        <v>2905.0</v>
      </c>
      <c r="G63" s="12">
        <v>0.0</v>
      </c>
      <c r="H63" s="12">
        <v>0.0</v>
      </c>
      <c r="I63" s="12">
        <v>0.0</v>
      </c>
      <c r="J63" s="12">
        <v>0.0</v>
      </c>
      <c r="K63" s="12">
        <v>0.0</v>
      </c>
      <c r="L63" s="13">
        <f t="shared" si="1"/>
        <v>2905</v>
      </c>
      <c r="M63" s="12">
        <f t="shared" si="2"/>
        <v>581</v>
      </c>
      <c r="N63" s="12">
        <f t="shared" si="3"/>
        <v>29.05</v>
      </c>
      <c r="O63" s="12">
        <f t="shared" si="4"/>
        <v>43.575</v>
      </c>
      <c r="P63" s="12">
        <f t="shared" si="5"/>
        <v>232.4</v>
      </c>
      <c r="Q63" s="12">
        <f t="shared" si="6"/>
        <v>241.9865</v>
      </c>
      <c r="R63" s="12">
        <f t="shared" si="7"/>
        <v>80.66216667</v>
      </c>
      <c r="S63" s="12">
        <f t="shared" si="8"/>
        <v>25.81189333</v>
      </c>
      <c r="T63" s="12">
        <f t="shared" si="9"/>
        <v>64.52973333</v>
      </c>
      <c r="U63" s="12">
        <f t="shared" si="10"/>
        <v>241.9865</v>
      </c>
      <c r="V63" s="12">
        <f t="shared" si="11"/>
        <v>19.35892</v>
      </c>
      <c r="W63" s="12">
        <f t="shared" si="12"/>
        <v>48.3973</v>
      </c>
      <c r="X63" s="12">
        <f t="shared" si="13"/>
        <v>45.7</v>
      </c>
      <c r="Y63" s="14">
        <f t="shared" si="14"/>
        <v>1654.458013</v>
      </c>
      <c r="Z63" s="15">
        <f t="shared" si="15"/>
        <v>4559.458013</v>
      </c>
      <c r="AA63" s="18"/>
    </row>
    <row r="64" ht="21.0" customHeight="1">
      <c r="A64" s="21" t="s">
        <v>133</v>
      </c>
      <c r="B64" s="9" t="s">
        <v>136</v>
      </c>
      <c r="C64" s="17"/>
      <c r="D64" s="9" t="s">
        <v>137</v>
      </c>
      <c r="E64" s="11">
        <v>45253.0</v>
      </c>
      <c r="F64" s="20">
        <v>2510.0</v>
      </c>
      <c r="G64" s="12">
        <v>0.0</v>
      </c>
      <c r="H64" s="12">
        <v>0.0</v>
      </c>
      <c r="I64" s="12">
        <v>0.0</v>
      </c>
      <c r="J64" s="12">
        <v>0.0</v>
      </c>
      <c r="K64" s="12">
        <v>0.0</v>
      </c>
      <c r="L64" s="13">
        <f t="shared" si="1"/>
        <v>2510</v>
      </c>
      <c r="M64" s="12">
        <f t="shared" si="2"/>
        <v>502</v>
      </c>
      <c r="N64" s="12">
        <f t="shared" si="3"/>
        <v>25.1</v>
      </c>
      <c r="O64" s="12">
        <f t="shared" si="4"/>
        <v>37.65</v>
      </c>
      <c r="P64" s="12">
        <f t="shared" si="5"/>
        <v>200.8</v>
      </c>
      <c r="Q64" s="12">
        <f t="shared" si="6"/>
        <v>209.083</v>
      </c>
      <c r="R64" s="12">
        <f t="shared" si="7"/>
        <v>69.69433333</v>
      </c>
      <c r="S64" s="12">
        <f t="shared" si="8"/>
        <v>22.30218667</v>
      </c>
      <c r="T64" s="12">
        <f t="shared" si="9"/>
        <v>55.75546667</v>
      </c>
      <c r="U64" s="12">
        <f t="shared" si="10"/>
        <v>209.083</v>
      </c>
      <c r="V64" s="12">
        <f t="shared" si="11"/>
        <v>16.72664</v>
      </c>
      <c r="W64" s="12">
        <f t="shared" si="12"/>
        <v>41.8166</v>
      </c>
      <c r="X64" s="12">
        <f t="shared" si="13"/>
        <v>69.4</v>
      </c>
      <c r="Y64" s="14">
        <f t="shared" si="14"/>
        <v>1459.411227</v>
      </c>
      <c r="Z64" s="15">
        <f t="shared" si="15"/>
        <v>3969.411227</v>
      </c>
      <c r="AA64" s="18"/>
    </row>
    <row r="65" ht="21.0" customHeight="1">
      <c r="A65" s="21" t="s">
        <v>133</v>
      </c>
      <c r="B65" s="9" t="s">
        <v>138</v>
      </c>
      <c r="C65" s="17"/>
      <c r="D65" s="9" t="s">
        <v>139</v>
      </c>
      <c r="E65" s="11">
        <v>45216.0</v>
      </c>
      <c r="F65" s="20">
        <v>2282.0</v>
      </c>
      <c r="G65" s="12">
        <v>0.0</v>
      </c>
      <c r="H65" s="12">
        <v>0.0</v>
      </c>
      <c r="I65" s="12">
        <v>0.0</v>
      </c>
      <c r="J65" s="12">
        <v>0.0</v>
      </c>
      <c r="K65" s="12">
        <v>0.0</v>
      </c>
      <c r="L65" s="13">
        <f t="shared" si="1"/>
        <v>2282</v>
      </c>
      <c r="M65" s="12">
        <f t="shared" si="2"/>
        <v>456.4</v>
      </c>
      <c r="N65" s="12">
        <f t="shared" si="3"/>
        <v>22.82</v>
      </c>
      <c r="O65" s="12">
        <f t="shared" si="4"/>
        <v>34.23</v>
      </c>
      <c r="P65" s="12">
        <f t="shared" si="5"/>
        <v>182.56</v>
      </c>
      <c r="Q65" s="12">
        <f t="shared" si="6"/>
        <v>190.0906</v>
      </c>
      <c r="R65" s="12">
        <f t="shared" si="7"/>
        <v>63.36353333</v>
      </c>
      <c r="S65" s="12">
        <f t="shared" si="8"/>
        <v>20.27633067</v>
      </c>
      <c r="T65" s="12">
        <f t="shared" si="9"/>
        <v>50.69082667</v>
      </c>
      <c r="U65" s="12">
        <f t="shared" si="10"/>
        <v>190.0906</v>
      </c>
      <c r="V65" s="12">
        <f t="shared" si="11"/>
        <v>15.207248</v>
      </c>
      <c r="W65" s="12">
        <f t="shared" si="12"/>
        <v>38.01812</v>
      </c>
      <c r="X65" s="12">
        <f t="shared" si="13"/>
        <v>83.08</v>
      </c>
      <c r="Y65" s="14">
        <f t="shared" si="14"/>
        <v>1346.827259</v>
      </c>
      <c r="Z65" s="15">
        <f t="shared" si="15"/>
        <v>3628.827259</v>
      </c>
      <c r="AA65" s="18"/>
    </row>
    <row r="66" ht="21.0" customHeight="1">
      <c r="A66" s="21" t="s">
        <v>133</v>
      </c>
      <c r="B66" s="9" t="s">
        <v>138</v>
      </c>
      <c r="C66" s="17"/>
      <c r="D66" s="9" t="s">
        <v>140</v>
      </c>
      <c r="E66" s="11">
        <v>43028.0</v>
      </c>
      <c r="F66" s="20">
        <v>2510.0</v>
      </c>
      <c r="G66" s="12">
        <v>0.0</v>
      </c>
      <c r="H66" s="12">
        <v>0.0</v>
      </c>
      <c r="I66" s="12">
        <v>0.0</v>
      </c>
      <c r="J66" s="12">
        <v>0.0</v>
      </c>
      <c r="K66" s="12">
        <f>F66*2%</f>
        <v>50.2</v>
      </c>
      <c r="L66" s="13">
        <f t="shared" si="1"/>
        <v>2560.2</v>
      </c>
      <c r="M66" s="12">
        <f t="shared" si="2"/>
        <v>512.04</v>
      </c>
      <c r="N66" s="12">
        <f t="shared" si="3"/>
        <v>25.1</v>
      </c>
      <c r="O66" s="12">
        <f t="shared" si="4"/>
        <v>37.65</v>
      </c>
      <c r="P66" s="12">
        <f t="shared" si="5"/>
        <v>204.816</v>
      </c>
      <c r="Q66" s="12">
        <f t="shared" si="6"/>
        <v>209.083</v>
      </c>
      <c r="R66" s="12">
        <f t="shared" si="7"/>
        <v>69.69433333</v>
      </c>
      <c r="S66" s="12">
        <f t="shared" si="8"/>
        <v>22.30218667</v>
      </c>
      <c r="T66" s="12">
        <f t="shared" si="9"/>
        <v>55.75546667</v>
      </c>
      <c r="U66" s="12">
        <f t="shared" si="10"/>
        <v>209.083</v>
      </c>
      <c r="V66" s="12">
        <f t="shared" si="11"/>
        <v>16.72664</v>
      </c>
      <c r="W66" s="12">
        <f t="shared" si="12"/>
        <v>41.8166</v>
      </c>
      <c r="X66" s="12">
        <f t="shared" si="13"/>
        <v>69.4</v>
      </c>
      <c r="Y66" s="14">
        <f t="shared" si="14"/>
        <v>1473.467227</v>
      </c>
      <c r="Z66" s="15">
        <f t="shared" si="15"/>
        <v>4033.667227</v>
      </c>
      <c r="AA66" s="18"/>
    </row>
    <row r="67" ht="21.0" customHeight="1">
      <c r="A67" s="21" t="s">
        <v>141</v>
      </c>
      <c r="B67" s="9" t="s">
        <v>142</v>
      </c>
      <c r="C67" s="17"/>
      <c r="D67" s="9" t="s">
        <v>143</v>
      </c>
      <c r="E67" s="11">
        <v>45520.0</v>
      </c>
      <c r="F67" s="20">
        <v>2781.0</v>
      </c>
      <c r="G67" s="12">
        <v>0.0</v>
      </c>
      <c r="H67" s="12">
        <v>0.0</v>
      </c>
      <c r="I67" s="12">
        <f>F67*10%</f>
        <v>278.1</v>
      </c>
      <c r="J67" s="12">
        <v>0.0</v>
      </c>
      <c r="K67" s="12">
        <v>0.0</v>
      </c>
      <c r="L67" s="13">
        <f t="shared" si="1"/>
        <v>3059.1</v>
      </c>
      <c r="M67" s="12">
        <f t="shared" si="2"/>
        <v>611.82</v>
      </c>
      <c r="N67" s="12">
        <f t="shared" si="3"/>
        <v>27.81</v>
      </c>
      <c r="O67" s="12">
        <f t="shared" si="4"/>
        <v>41.715</v>
      </c>
      <c r="P67" s="12">
        <f t="shared" si="5"/>
        <v>244.728</v>
      </c>
      <c r="Q67" s="12">
        <f t="shared" si="6"/>
        <v>231.6573</v>
      </c>
      <c r="R67" s="12">
        <f t="shared" si="7"/>
        <v>77.2191</v>
      </c>
      <c r="S67" s="12">
        <f t="shared" si="8"/>
        <v>24.710112</v>
      </c>
      <c r="T67" s="12">
        <f t="shared" si="9"/>
        <v>61.77528</v>
      </c>
      <c r="U67" s="12">
        <f t="shared" si="10"/>
        <v>231.6573</v>
      </c>
      <c r="V67" s="12">
        <f t="shared" si="11"/>
        <v>18.532584</v>
      </c>
      <c r="W67" s="12">
        <f t="shared" si="12"/>
        <v>46.33146</v>
      </c>
      <c r="X67" s="12">
        <f t="shared" si="13"/>
        <v>53.14</v>
      </c>
      <c r="Y67" s="14">
        <f t="shared" si="14"/>
        <v>1671.096136</v>
      </c>
      <c r="Z67" s="15">
        <f t="shared" si="15"/>
        <v>4730.196136</v>
      </c>
      <c r="AA67" s="18"/>
    </row>
    <row r="68" ht="21.0" customHeight="1">
      <c r="A68" s="21" t="s">
        <v>144</v>
      </c>
      <c r="B68" s="9" t="s">
        <v>145</v>
      </c>
      <c r="C68" s="17"/>
      <c r="D68" s="9" t="s">
        <v>146</v>
      </c>
      <c r="E68" s="11">
        <v>43332.0</v>
      </c>
      <c r="F68" s="20">
        <v>3980.0</v>
      </c>
      <c r="G68" s="12">
        <v>0.0</v>
      </c>
      <c r="H68" s="12">
        <v>0.0</v>
      </c>
      <c r="I68" s="12">
        <v>0.0</v>
      </c>
      <c r="J68" s="12">
        <v>0.0</v>
      </c>
      <c r="K68" s="12">
        <f>F68*2%</f>
        <v>79.6</v>
      </c>
      <c r="L68" s="13">
        <f t="shared" si="1"/>
        <v>4059.6</v>
      </c>
      <c r="M68" s="12">
        <f t="shared" si="2"/>
        <v>811.92</v>
      </c>
      <c r="N68" s="12">
        <f t="shared" si="3"/>
        <v>39.8</v>
      </c>
      <c r="O68" s="12">
        <f t="shared" si="4"/>
        <v>59.7</v>
      </c>
      <c r="P68" s="12">
        <f t="shared" si="5"/>
        <v>324.768</v>
      </c>
      <c r="Q68" s="12">
        <f t="shared" si="6"/>
        <v>331.534</v>
      </c>
      <c r="R68" s="12">
        <f t="shared" si="7"/>
        <v>110.5113333</v>
      </c>
      <c r="S68" s="12">
        <f t="shared" si="8"/>
        <v>35.36362667</v>
      </c>
      <c r="T68" s="12">
        <f t="shared" si="9"/>
        <v>88.40906667</v>
      </c>
      <c r="U68" s="12">
        <f t="shared" si="10"/>
        <v>331.534</v>
      </c>
      <c r="V68" s="12">
        <f t="shared" si="11"/>
        <v>26.52272</v>
      </c>
      <c r="W68" s="12">
        <f t="shared" si="12"/>
        <v>66.3068</v>
      </c>
      <c r="X68" s="12">
        <f t="shared" si="13"/>
        <v>-18.8</v>
      </c>
      <c r="Y68" s="14">
        <f t="shared" si="14"/>
        <v>2207.569547</v>
      </c>
      <c r="Z68" s="15">
        <f t="shared" si="15"/>
        <v>6267.169547</v>
      </c>
      <c r="AA68" s="18"/>
    </row>
    <row r="69" ht="21.0" customHeight="1">
      <c r="A69" s="21" t="s">
        <v>144</v>
      </c>
      <c r="B69" s="9" t="s">
        <v>147</v>
      </c>
      <c r="C69" s="17"/>
      <c r="D69" s="9" t="s">
        <v>148</v>
      </c>
      <c r="E69" s="11">
        <v>44840.0</v>
      </c>
      <c r="F69" s="20">
        <v>3225.0</v>
      </c>
      <c r="G69" s="12">
        <v>0.0</v>
      </c>
      <c r="H69" s="12">
        <v>0.0</v>
      </c>
      <c r="I69" s="12">
        <v>0.0</v>
      </c>
      <c r="J69" s="12">
        <v>0.0</v>
      </c>
      <c r="K69" s="12">
        <v>0.0</v>
      </c>
      <c r="L69" s="13">
        <f t="shared" si="1"/>
        <v>3225</v>
      </c>
      <c r="M69" s="12">
        <f t="shared" si="2"/>
        <v>645</v>
      </c>
      <c r="N69" s="12">
        <f t="shared" si="3"/>
        <v>32.25</v>
      </c>
      <c r="O69" s="12">
        <f t="shared" si="4"/>
        <v>48.375</v>
      </c>
      <c r="P69" s="12">
        <f t="shared" si="5"/>
        <v>258</v>
      </c>
      <c r="Q69" s="12">
        <f t="shared" si="6"/>
        <v>268.6425</v>
      </c>
      <c r="R69" s="12">
        <f t="shared" si="7"/>
        <v>89.5475</v>
      </c>
      <c r="S69" s="12">
        <f t="shared" si="8"/>
        <v>28.6552</v>
      </c>
      <c r="T69" s="12">
        <f t="shared" si="9"/>
        <v>71.638</v>
      </c>
      <c r="U69" s="12">
        <f t="shared" si="10"/>
        <v>268.6425</v>
      </c>
      <c r="V69" s="12">
        <f t="shared" si="11"/>
        <v>21.4914</v>
      </c>
      <c r="W69" s="12">
        <f t="shared" si="12"/>
        <v>53.7285</v>
      </c>
      <c r="X69" s="12">
        <f t="shared" si="13"/>
        <v>26.5</v>
      </c>
      <c r="Y69" s="14">
        <f t="shared" si="14"/>
        <v>1812.4706</v>
      </c>
      <c r="Z69" s="15">
        <f t="shared" si="15"/>
        <v>5037.4706</v>
      </c>
      <c r="AA69" s="18"/>
    </row>
    <row r="70" ht="21.0" customHeight="1">
      <c r="A70" s="21" t="s">
        <v>149</v>
      </c>
      <c r="B70" s="9" t="s">
        <v>150</v>
      </c>
      <c r="C70" s="17"/>
      <c r="D70" s="9" t="s">
        <v>151</v>
      </c>
      <c r="E70" s="11">
        <v>45047.0</v>
      </c>
      <c r="F70" s="20">
        <v>3006.0</v>
      </c>
      <c r="G70" s="12">
        <f>F70*40%</f>
        <v>1202.4</v>
      </c>
      <c r="H70" s="12">
        <v>0.0</v>
      </c>
      <c r="I70" s="12">
        <v>0.0</v>
      </c>
      <c r="J70" s="12">
        <v>0.0</v>
      </c>
      <c r="K70" s="12">
        <v>0.0</v>
      </c>
      <c r="L70" s="13">
        <f t="shared" si="1"/>
        <v>4208.4</v>
      </c>
      <c r="M70" s="12">
        <f t="shared" si="2"/>
        <v>841.68</v>
      </c>
      <c r="N70" s="12">
        <f t="shared" si="3"/>
        <v>30.06</v>
      </c>
      <c r="O70" s="12">
        <f t="shared" si="4"/>
        <v>45.09</v>
      </c>
      <c r="P70" s="12">
        <f t="shared" si="5"/>
        <v>336.672</v>
      </c>
      <c r="Q70" s="12">
        <f t="shared" si="6"/>
        <v>250.3998</v>
      </c>
      <c r="R70" s="12">
        <f t="shared" si="7"/>
        <v>83.4666</v>
      </c>
      <c r="S70" s="12">
        <f t="shared" si="8"/>
        <v>26.709312</v>
      </c>
      <c r="T70" s="12">
        <f t="shared" si="9"/>
        <v>66.77328</v>
      </c>
      <c r="U70" s="12">
        <f t="shared" si="10"/>
        <v>250.3998</v>
      </c>
      <c r="V70" s="12">
        <f t="shared" si="11"/>
        <v>20.031984</v>
      </c>
      <c r="W70" s="12">
        <f t="shared" si="12"/>
        <v>50.07996</v>
      </c>
      <c r="X70" s="12">
        <f t="shared" si="13"/>
        <v>39.64</v>
      </c>
      <c r="Y70" s="14">
        <f t="shared" si="14"/>
        <v>2041.002736</v>
      </c>
      <c r="Z70" s="15">
        <f t="shared" si="15"/>
        <v>6249.402736</v>
      </c>
      <c r="AA70" s="18"/>
    </row>
    <row r="71" ht="21.0" customHeight="1">
      <c r="A71" s="21" t="s">
        <v>149</v>
      </c>
      <c r="B71" s="9" t="s">
        <v>152</v>
      </c>
      <c r="C71" s="17"/>
      <c r="D71" s="9" t="s">
        <v>153</v>
      </c>
      <c r="E71" s="11">
        <v>45814.0</v>
      </c>
      <c r="F71" s="20">
        <v>3450.0</v>
      </c>
      <c r="G71" s="12">
        <v>0.0</v>
      </c>
      <c r="H71" s="12">
        <v>0.0</v>
      </c>
      <c r="I71" s="12">
        <v>0.0</v>
      </c>
      <c r="J71" s="12">
        <v>0.0</v>
      </c>
      <c r="K71" s="12">
        <v>0.0</v>
      </c>
      <c r="L71" s="13">
        <f t="shared" si="1"/>
        <v>3450</v>
      </c>
      <c r="M71" s="12">
        <f t="shared" si="2"/>
        <v>690</v>
      </c>
      <c r="N71" s="12">
        <f t="shared" si="3"/>
        <v>34.5</v>
      </c>
      <c r="O71" s="12">
        <f t="shared" si="4"/>
        <v>51.75</v>
      </c>
      <c r="P71" s="12">
        <f t="shared" si="5"/>
        <v>276</v>
      </c>
      <c r="Q71" s="12">
        <f t="shared" si="6"/>
        <v>287.385</v>
      </c>
      <c r="R71" s="12">
        <f t="shared" si="7"/>
        <v>95.795</v>
      </c>
      <c r="S71" s="12">
        <f t="shared" si="8"/>
        <v>30.6544</v>
      </c>
      <c r="T71" s="12">
        <f t="shared" si="9"/>
        <v>76.636</v>
      </c>
      <c r="U71" s="12">
        <f t="shared" si="10"/>
        <v>287.385</v>
      </c>
      <c r="V71" s="12">
        <f t="shared" si="11"/>
        <v>22.9908</v>
      </c>
      <c r="W71" s="12">
        <f t="shared" si="12"/>
        <v>57.477</v>
      </c>
      <c r="X71" s="12">
        <f t="shared" si="13"/>
        <v>13</v>
      </c>
      <c r="Y71" s="14">
        <f t="shared" si="14"/>
        <v>1923.5732</v>
      </c>
      <c r="Z71" s="15">
        <f t="shared" si="15"/>
        <v>5373.5732</v>
      </c>
      <c r="AA71" s="18"/>
    </row>
    <row r="72" ht="21.0" customHeight="1">
      <c r="A72" s="21" t="s">
        <v>149</v>
      </c>
      <c r="B72" s="9" t="s">
        <v>154</v>
      </c>
      <c r="C72" s="28"/>
      <c r="D72" s="9" t="s">
        <v>155</v>
      </c>
      <c r="E72" s="11">
        <v>45778.0</v>
      </c>
      <c r="F72" s="20">
        <v>2880.0</v>
      </c>
      <c r="G72" s="12">
        <v>0.0</v>
      </c>
      <c r="H72" s="12">
        <v>0.0</v>
      </c>
      <c r="I72" s="12">
        <v>0.0</v>
      </c>
      <c r="J72" s="12">
        <v>0.0</v>
      </c>
      <c r="K72" s="12">
        <v>0.0</v>
      </c>
      <c r="L72" s="13">
        <f t="shared" si="1"/>
        <v>2880</v>
      </c>
      <c r="M72" s="12">
        <f t="shared" si="2"/>
        <v>576</v>
      </c>
      <c r="N72" s="12">
        <f t="shared" si="3"/>
        <v>28.8</v>
      </c>
      <c r="O72" s="12">
        <f t="shared" si="4"/>
        <v>43.2</v>
      </c>
      <c r="P72" s="12">
        <f t="shared" si="5"/>
        <v>230.4</v>
      </c>
      <c r="Q72" s="12">
        <f t="shared" si="6"/>
        <v>239.904</v>
      </c>
      <c r="R72" s="12">
        <f t="shared" si="7"/>
        <v>79.968</v>
      </c>
      <c r="S72" s="12">
        <f t="shared" si="8"/>
        <v>25.58976</v>
      </c>
      <c r="T72" s="12">
        <f t="shared" si="9"/>
        <v>63.9744</v>
      </c>
      <c r="U72" s="12">
        <f t="shared" si="10"/>
        <v>239.904</v>
      </c>
      <c r="V72" s="12">
        <f t="shared" si="11"/>
        <v>19.19232</v>
      </c>
      <c r="W72" s="12">
        <f t="shared" si="12"/>
        <v>47.9808</v>
      </c>
      <c r="X72" s="12">
        <f t="shared" si="13"/>
        <v>47.2</v>
      </c>
      <c r="Y72" s="14">
        <f t="shared" si="14"/>
        <v>1642.11328</v>
      </c>
      <c r="Z72" s="15">
        <f t="shared" si="15"/>
        <v>4522.11328</v>
      </c>
      <c r="AA72" s="18"/>
    </row>
    <row r="73" ht="21.0" customHeight="1">
      <c r="A73" s="21" t="s">
        <v>149</v>
      </c>
      <c r="B73" s="9" t="s">
        <v>156</v>
      </c>
      <c r="C73" s="17"/>
      <c r="D73" s="9" t="s">
        <v>157</v>
      </c>
      <c r="E73" s="11">
        <v>44828.0</v>
      </c>
      <c r="F73" s="20">
        <v>2400.0</v>
      </c>
      <c r="G73" s="12">
        <v>0.0</v>
      </c>
      <c r="H73" s="12">
        <v>0.0</v>
      </c>
      <c r="I73" s="12">
        <v>0.0</v>
      </c>
      <c r="J73" s="12">
        <v>0.0</v>
      </c>
      <c r="K73" s="12">
        <v>0.0</v>
      </c>
      <c r="L73" s="13">
        <f t="shared" si="1"/>
        <v>2400</v>
      </c>
      <c r="M73" s="12">
        <f t="shared" si="2"/>
        <v>480</v>
      </c>
      <c r="N73" s="12">
        <f t="shared" si="3"/>
        <v>24</v>
      </c>
      <c r="O73" s="12">
        <f t="shared" si="4"/>
        <v>36</v>
      </c>
      <c r="P73" s="12">
        <f t="shared" si="5"/>
        <v>192</v>
      </c>
      <c r="Q73" s="12">
        <f t="shared" si="6"/>
        <v>199.92</v>
      </c>
      <c r="R73" s="12">
        <f t="shared" si="7"/>
        <v>66.64</v>
      </c>
      <c r="S73" s="12">
        <f t="shared" si="8"/>
        <v>21.3248</v>
      </c>
      <c r="T73" s="12">
        <f t="shared" si="9"/>
        <v>53.312</v>
      </c>
      <c r="U73" s="12">
        <f t="shared" si="10"/>
        <v>199.92</v>
      </c>
      <c r="V73" s="12">
        <f t="shared" si="11"/>
        <v>15.9936</v>
      </c>
      <c r="W73" s="12">
        <f t="shared" si="12"/>
        <v>39.984</v>
      </c>
      <c r="X73" s="12">
        <f t="shared" si="13"/>
        <v>76</v>
      </c>
      <c r="Y73" s="14">
        <f t="shared" si="14"/>
        <v>1405.0944</v>
      </c>
      <c r="Z73" s="15">
        <f t="shared" si="15"/>
        <v>3805.0944</v>
      </c>
      <c r="AA73" s="18"/>
    </row>
    <row r="74" ht="21.0" customHeight="1">
      <c r="A74" s="21" t="s">
        <v>149</v>
      </c>
      <c r="B74" s="9" t="s">
        <v>156</v>
      </c>
      <c r="C74" s="17"/>
      <c r="D74" s="9" t="s">
        <v>158</v>
      </c>
      <c r="E74" s="11">
        <v>45245.0</v>
      </c>
      <c r="F74" s="20">
        <v>2190.0</v>
      </c>
      <c r="G74" s="12">
        <v>0.0</v>
      </c>
      <c r="H74" s="12">
        <v>0.0</v>
      </c>
      <c r="I74" s="12">
        <v>0.0</v>
      </c>
      <c r="J74" s="12">
        <v>0.0</v>
      </c>
      <c r="K74" s="12">
        <v>0.0</v>
      </c>
      <c r="L74" s="13">
        <f t="shared" si="1"/>
        <v>2190</v>
      </c>
      <c r="M74" s="12">
        <f t="shared" si="2"/>
        <v>438</v>
      </c>
      <c r="N74" s="12">
        <f t="shared" si="3"/>
        <v>21.9</v>
      </c>
      <c r="O74" s="12">
        <f t="shared" si="4"/>
        <v>32.85</v>
      </c>
      <c r="P74" s="12">
        <f t="shared" si="5"/>
        <v>175.2</v>
      </c>
      <c r="Q74" s="12">
        <f t="shared" si="6"/>
        <v>182.427</v>
      </c>
      <c r="R74" s="12">
        <f t="shared" si="7"/>
        <v>60.809</v>
      </c>
      <c r="S74" s="12">
        <f t="shared" si="8"/>
        <v>19.45888</v>
      </c>
      <c r="T74" s="12">
        <f t="shared" si="9"/>
        <v>48.6472</v>
      </c>
      <c r="U74" s="12">
        <f t="shared" si="10"/>
        <v>182.427</v>
      </c>
      <c r="V74" s="12">
        <f t="shared" si="11"/>
        <v>14.59416</v>
      </c>
      <c r="W74" s="12">
        <f t="shared" si="12"/>
        <v>36.4854</v>
      </c>
      <c r="X74" s="12">
        <f t="shared" si="13"/>
        <v>88.6</v>
      </c>
      <c r="Y74" s="14">
        <f t="shared" si="14"/>
        <v>1301.39864</v>
      </c>
      <c r="Z74" s="15">
        <f t="shared" si="15"/>
        <v>3491.39864</v>
      </c>
      <c r="AA74" s="18"/>
    </row>
    <row r="75" ht="21.0" customHeight="1">
      <c r="A75" s="21" t="s">
        <v>149</v>
      </c>
      <c r="B75" s="9" t="s">
        <v>156</v>
      </c>
      <c r="D75" s="24" t="s">
        <v>159</v>
      </c>
      <c r="E75" s="25">
        <v>45731.0</v>
      </c>
      <c r="F75" s="12">
        <v>2190.0</v>
      </c>
      <c r="G75" s="12">
        <v>0.0</v>
      </c>
      <c r="H75" s="12">
        <v>0.0</v>
      </c>
      <c r="I75" s="12">
        <v>0.0</v>
      </c>
      <c r="J75" s="12">
        <v>0.0</v>
      </c>
      <c r="K75" s="12">
        <v>0.0</v>
      </c>
      <c r="L75" s="13">
        <f t="shared" si="1"/>
        <v>2190</v>
      </c>
      <c r="M75" s="12">
        <f t="shared" si="2"/>
        <v>438</v>
      </c>
      <c r="N75" s="12">
        <f t="shared" si="3"/>
        <v>21.9</v>
      </c>
      <c r="O75" s="12">
        <f t="shared" si="4"/>
        <v>32.85</v>
      </c>
      <c r="P75" s="12">
        <f t="shared" si="5"/>
        <v>175.2</v>
      </c>
      <c r="Q75" s="12">
        <f t="shared" si="6"/>
        <v>182.427</v>
      </c>
      <c r="R75" s="12">
        <f t="shared" si="7"/>
        <v>60.809</v>
      </c>
      <c r="S75" s="12">
        <f t="shared" si="8"/>
        <v>19.45888</v>
      </c>
      <c r="T75" s="12">
        <f t="shared" si="9"/>
        <v>48.6472</v>
      </c>
      <c r="U75" s="12">
        <f t="shared" si="10"/>
        <v>182.427</v>
      </c>
      <c r="V75" s="12">
        <f t="shared" si="11"/>
        <v>14.59416</v>
      </c>
      <c r="W75" s="12">
        <f t="shared" si="12"/>
        <v>36.4854</v>
      </c>
      <c r="X75" s="12">
        <f t="shared" si="13"/>
        <v>88.6</v>
      </c>
      <c r="Y75" s="14">
        <f t="shared" si="14"/>
        <v>1301.39864</v>
      </c>
      <c r="Z75" s="15">
        <f t="shared" si="15"/>
        <v>3491.39864</v>
      </c>
      <c r="AA75" s="18"/>
    </row>
    <row r="76" ht="21.0" customHeight="1">
      <c r="A76" s="21" t="s">
        <v>149</v>
      </c>
      <c r="B76" s="9" t="s">
        <v>160</v>
      </c>
      <c r="C76" s="17"/>
      <c r="D76" s="9" t="s">
        <v>161</v>
      </c>
      <c r="E76" s="11">
        <v>44841.0</v>
      </c>
      <c r="F76" s="20">
        <v>2510.0</v>
      </c>
      <c r="G76" s="12">
        <v>0.0</v>
      </c>
      <c r="H76" s="12">
        <v>0.0</v>
      </c>
      <c r="I76" s="12">
        <v>0.0</v>
      </c>
      <c r="J76" s="12">
        <v>0.0</v>
      </c>
      <c r="K76" s="12">
        <v>0.0</v>
      </c>
      <c r="L76" s="13">
        <f t="shared" si="1"/>
        <v>2510</v>
      </c>
      <c r="M76" s="12">
        <f t="shared" si="2"/>
        <v>502</v>
      </c>
      <c r="N76" s="12">
        <f t="shared" si="3"/>
        <v>25.1</v>
      </c>
      <c r="O76" s="12">
        <f t="shared" si="4"/>
        <v>37.65</v>
      </c>
      <c r="P76" s="12">
        <f t="shared" si="5"/>
        <v>200.8</v>
      </c>
      <c r="Q76" s="12">
        <f t="shared" si="6"/>
        <v>209.083</v>
      </c>
      <c r="R76" s="12">
        <f t="shared" si="7"/>
        <v>69.69433333</v>
      </c>
      <c r="S76" s="12">
        <f t="shared" si="8"/>
        <v>22.30218667</v>
      </c>
      <c r="T76" s="12">
        <f t="shared" si="9"/>
        <v>55.75546667</v>
      </c>
      <c r="U76" s="12">
        <f t="shared" si="10"/>
        <v>209.083</v>
      </c>
      <c r="V76" s="12">
        <f t="shared" si="11"/>
        <v>16.72664</v>
      </c>
      <c r="W76" s="12">
        <f t="shared" si="12"/>
        <v>41.8166</v>
      </c>
      <c r="X76" s="12">
        <f t="shared" si="13"/>
        <v>69.4</v>
      </c>
      <c r="Y76" s="14">
        <f t="shared" si="14"/>
        <v>1459.411227</v>
      </c>
      <c r="Z76" s="15">
        <f t="shared" si="15"/>
        <v>3969.411227</v>
      </c>
      <c r="AA76" s="18"/>
    </row>
    <row r="77" ht="21.0" customHeight="1">
      <c r="A77" s="21" t="s">
        <v>149</v>
      </c>
      <c r="B77" s="9" t="s">
        <v>160</v>
      </c>
      <c r="C77" s="17"/>
      <c r="D77" s="9" t="s">
        <v>162</v>
      </c>
      <c r="E77" s="11">
        <v>45051.0</v>
      </c>
      <c r="F77" s="20">
        <v>2510.0</v>
      </c>
      <c r="G77" s="12">
        <v>0.0</v>
      </c>
      <c r="H77" s="12">
        <v>0.0</v>
      </c>
      <c r="I77" s="12">
        <f>F77*10%</f>
        <v>251</v>
      </c>
      <c r="J77" s="12">
        <v>0.0</v>
      </c>
      <c r="K77" s="12">
        <v>0.0</v>
      </c>
      <c r="L77" s="13">
        <f t="shared" si="1"/>
        <v>2761</v>
      </c>
      <c r="M77" s="12">
        <f t="shared" si="2"/>
        <v>552.2</v>
      </c>
      <c r="N77" s="12">
        <f t="shared" si="3"/>
        <v>25.1</v>
      </c>
      <c r="O77" s="12">
        <f t="shared" si="4"/>
        <v>37.65</v>
      </c>
      <c r="P77" s="12">
        <f t="shared" si="5"/>
        <v>220.88</v>
      </c>
      <c r="Q77" s="12">
        <f t="shared" si="6"/>
        <v>209.083</v>
      </c>
      <c r="R77" s="12">
        <f t="shared" si="7"/>
        <v>69.69433333</v>
      </c>
      <c r="S77" s="12">
        <f t="shared" si="8"/>
        <v>22.30218667</v>
      </c>
      <c r="T77" s="12">
        <f t="shared" si="9"/>
        <v>55.75546667</v>
      </c>
      <c r="U77" s="12">
        <f t="shared" si="10"/>
        <v>209.083</v>
      </c>
      <c r="V77" s="12">
        <f t="shared" si="11"/>
        <v>16.72664</v>
      </c>
      <c r="W77" s="12">
        <f t="shared" si="12"/>
        <v>41.8166</v>
      </c>
      <c r="X77" s="12">
        <f t="shared" si="13"/>
        <v>69.4</v>
      </c>
      <c r="Y77" s="14">
        <f t="shared" si="14"/>
        <v>1529.691227</v>
      </c>
      <c r="Z77" s="15">
        <f t="shared" si="15"/>
        <v>4290.691227</v>
      </c>
      <c r="AA77" s="18"/>
    </row>
    <row r="78" ht="21.0" customHeight="1">
      <c r="A78" s="21" t="s">
        <v>149</v>
      </c>
      <c r="B78" s="9" t="s">
        <v>160</v>
      </c>
      <c r="C78" s="17"/>
      <c r="D78" s="9" t="s">
        <v>163</v>
      </c>
      <c r="E78" s="11">
        <v>45176.0</v>
      </c>
      <c r="F78" s="20">
        <v>2510.0</v>
      </c>
      <c r="G78" s="12">
        <v>0.0</v>
      </c>
      <c r="H78" s="12">
        <v>0.0</v>
      </c>
      <c r="I78" s="12">
        <v>0.0</v>
      </c>
      <c r="J78" s="12">
        <v>0.0</v>
      </c>
      <c r="K78" s="12">
        <v>0.0</v>
      </c>
      <c r="L78" s="13">
        <f t="shared" si="1"/>
        <v>2510</v>
      </c>
      <c r="M78" s="12">
        <f t="shared" si="2"/>
        <v>502</v>
      </c>
      <c r="N78" s="12">
        <f t="shared" si="3"/>
        <v>25.1</v>
      </c>
      <c r="O78" s="12">
        <f t="shared" si="4"/>
        <v>37.65</v>
      </c>
      <c r="P78" s="12">
        <f t="shared" si="5"/>
        <v>200.8</v>
      </c>
      <c r="Q78" s="12">
        <f t="shared" si="6"/>
        <v>209.083</v>
      </c>
      <c r="R78" s="12">
        <f t="shared" si="7"/>
        <v>69.69433333</v>
      </c>
      <c r="S78" s="12">
        <f t="shared" si="8"/>
        <v>22.30218667</v>
      </c>
      <c r="T78" s="12">
        <f t="shared" si="9"/>
        <v>55.75546667</v>
      </c>
      <c r="U78" s="12">
        <f t="shared" si="10"/>
        <v>209.083</v>
      </c>
      <c r="V78" s="12">
        <f t="shared" si="11"/>
        <v>16.72664</v>
      </c>
      <c r="W78" s="12">
        <f t="shared" si="12"/>
        <v>41.8166</v>
      </c>
      <c r="X78" s="12">
        <f t="shared" si="13"/>
        <v>69.4</v>
      </c>
      <c r="Y78" s="14">
        <f t="shared" si="14"/>
        <v>1459.411227</v>
      </c>
      <c r="Z78" s="15">
        <f t="shared" si="15"/>
        <v>3969.411227</v>
      </c>
      <c r="AA78" s="18"/>
    </row>
    <row r="79" ht="21.0" customHeight="1">
      <c r="A79" s="21" t="s">
        <v>149</v>
      </c>
      <c r="B79" s="9" t="s">
        <v>160</v>
      </c>
      <c r="C79" s="17"/>
      <c r="D79" s="9" t="s">
        <v>164</v>
      </c>
      <c r="E79" s="11">
        <v>45665.0</v>
      </c>
      <c r="F79" s="20">
        <v>2510.0</v>
      </c>
      <c r="G79" s="12">
        <v>0.0</v>
      </c>
      <c r="H79" s="12">
        <v>0.0</v>
      </c>
      <c r="I79" s="12">
        <v>0.0</v>
      </c>
      <c r="J79" s="12">
        <v>0.0</v>
      </c>
      <c r="K79" s="12">
        <v>0.0</v>
      </c>
      <c r="L79" s="13">
        <f t="shared" si="1"/>
        <v>2510</v>
      </c>
      <c r="M79" s="12">
        <f t="shared" si="2"/>
        <v>502</v>
      </c>
      <c r="N79" s="12">
        <f t="shared" si="3"/>
        <v>25.1</v>
      </c>
      <c r="O79" s="12">
        <f t="shared" si="4"/>
        <v>37.65</v>
      </c>
      <c r="P79" s="12">
        <f t="shared" si="5"/>
        <v>200.8</v>
      </c>
      <c r="Q79" s="12">
        <f t="shared" si="6"/>
        <v>209.083</v>
      </c>
      <c r="R79" s="12">
        <f t="shared" si="7"/>
        <v>69.69433333</v>
      </c>
      <c r="S79" s="12">
        <f t="shared" si="8"/>
        <v>22.30218667</v>
      </c>
      <c r="T79" s="12">
        <f t="shared" si="9"/>
        <v>55.75546667</v>
      </c>
      <c r="U79" s="12">
        <f t="shared" si="10"/>
        <v>209.083</v>
      </c>
      <c r="V79" s="12">
        <f t="shared" si="11"/>
        <v>16.72664</v>
      </c>
      <c r="W79" s="12">
        <f t="shared" si="12"/>
        <v>41.8166</v>
      </c>
      <c r="X79" s="12">
        <f t="shared" si="13"/>
        <v>69.4</v>
      </c>
      <c r="Y79" s="14">
        <f t="shared" si="14"/>
        <v>1459.411227</v>
      </c>
      <c r="Z79" s="15">
        <f t="shared" si="15"/>
        <v>3969.411227</v>
      </c>
      <c r="AA79" s="18"/>
    </row>
    <row r="80" ht="21.0" customHeight="1">
      <c r="A80" s="21" t="s">
        <v>149</v>
      </c>
      <c r="B80" s="9" t="s">
        <v>160</v>
      </c>
      <c r="C80" s="17"/>
      <c r="D80" s="9" t="s">
        <v>165</v>
      </c>
      <c r="E80" s="11">
        <v>44527.0</v>
      </c>
      <c r="F80" s="20">
        <v>2510.0</v>
      </c>
      <c r="G80" s="12">
        <v>0.0</v>
      </c>
      <c r="H80" s="12">
        <v>0.0</v>
      </c>
      <c r="I80" s="12">
        <v>0.0</v>
      </c>
      <c r="J80" s="12">
        <v>0.0</v>
      </c>
      <c r="K80" s="12">
        <v>0.0</v>
      </c>
      <c r="L80" s="13">
        <f t="shared" si="1"/>
        <v>2510</v>
      </c>
      <c r="M80" s="12">
        <f t="shared" si="2"/>
        <v>502</v>
      </c>
      <c r="N80" s="12">
        <f t="shared" si="3"/>
        <v>25.1</v>
      </c>
      <c r="O80" s="12">
        <f t="shared" si="4"/>
        <v>37.65</v>
      </c>
      <c r="P80" s="12">
        <f t="shared" si="5"/>
        <v>200.8</v>
      </c>
      <c r="Q80" s="12">
        <f t="shared" si="6"/>
        <v>209.083</v>
      </c>
      <c r="R80" s="12">
        <f t="shared" si="7"/>
        <v>69.69433333</v>
      </c>
      <c r="S80" s="12">
        <f t="shared" si="8"/>
        <v>22.30218667</v>
      </c>
      <c r="T80" s="12">
        <f t="shared" si="9"/>
        <v>55.75546667</v>
      </c>
      <c r="U80" s="12">
        <f t="shared" si="10"/>
        <v>209.083</v>
      </c>
      <c r="V80" s="12">
        <f t="shared" si="11"/>
        <v>16.72664</v>
      </c>
      <c r="W80" s="12">
        <f t="shared" si="12"/>
        <v>41.8166</v>
      </c>
      <c r="X80" s="12">
        <f t="shared" si="13"/>
        <v>69.4</v>
      </c>
      <c r="Y80" s="14">
        <f t="shared" si="14"/>
        <v>1459.411227</v>
      </c>
      <c r="Z80" s="15">
        <f t="shared" si="15"/>
        <v>3969.411227</v>
      </c>
      <c r="AA80" s="18"/>
    </row>
    <row r="81" ht="21.0" customHeight="1">
      <c r="A81" s="21" t="s">
        <v>149</v>
      </c>
      <c r="B81" s="9" t="s">
        <v>166</v>
      </c>
      <c r="C81" s="17"/>
      <c r="D81" s="9" t="s">
        <v>167</v>
      </c>
      <c r="E81" s="11">
        <v>44513.0</v>
      </c>
      <c r="F81" s="20">
        <v>2282.0</v>
      </c>
      <c r="G81" s="12">
        <v>0.0</v>
      </c>
      <c r="H81" s="12">
        <v>0.0</v>
      </c>
      <c r="I81" s="12">
        <v>0.0</v>
      </c>
      <c r="J81" s="12">
        <v>0.0</v>
      </c>
      <c r="K81" s="12">
        <v>0.0</v>
      </c>
      <c r="L81" s="13">
        <f t="shared" si="1"/>
        <v>2282</v>
      </c>
      <c r="M81" s="12">
        <f t="shared" si="2"/>
        <v>456.4</v>
      </c>
      <c r="N81" s="12">
        <f t="shared" si="3"/>
        <v>22.82</v>
      </c>
      <c r="O81" s="12">
        <f t="shared" si="4"/>
        <v>34.23</v>
      </c>
      <c r="P81" s="12">
        <f t="shared" si="5"/>
        <v>182.56</v>
      </c>
      <c r="Q81" s="12">
        <f t="shared" si="6"/>
        <v>190.0906</v>
      </c>
      <c r="R81" s="12">
        <f t="shared" si="7"/>
        <v>63.36353333</v>
      </c>
      <c r="S81" s="12">
        <f t="shared" si="8"/>
        <v>20.27633067</v>
      </c>
      <c r="T81" s="12">
        <f t="shared" si="9"/>
        <v>50.69082667</v>
      </c>
      <c r="U81" s="12">
        <f t="shared" si="10"/>
        <v>190.0906</v>
      </c>
      <c r="V81" s="12">
        <f t="shared" si="11"/>
        <v>15.207248</v>
      </c>
      <c r="W81" s="12">
        <f t="shared" si="12"/>
        <v>38.01812</v>
      </c>
      <c r="X81" s="12">
        <f t="shared" si="13"/>
        <v>83.08</v>
      </c>
      <c r="Y81" s="14">
        <f t="shared" si="14"/>
        <v>1346.827259</v>
      </c>
      <c r="Z81" s="15">
        <f t="shared" si="15"/>
        <v>3628.827259</v>
      </c>
      <c r="AA81" s="18"/>
    </row>
    <row r="82" ht="21.0" customHeight="1">
      <c r="A82" s="21" t="s">
        <v>149</v>
      </c>
      <c r="B82" s="9" t="s">
        <v>168</v>
      </c>
      <c r="C82" s="17"/>
      <c r="D82" s="9" t="s">
        <v>169</v>
      </c>
      <c r="E82" s="11">
        <v>45577.0</v>
      </c>
      <c r="F82" s="20">
        <v>2510.0</v>
      </c>
      <c r="G82" s="12">
        <v>0.0</v>
      </c>
      <c r="H82" s="12">
        <v>0.0</v>
      </c>
      <c r="I82" s="12">
        <v>0.0</v>
      </c>
      <c r="J82" s="12">
        <v>0.0</v>
      </c>
      <c r="K82" s="12">
        <v>0.0</v>
      </c>
      <c r="L82" s="13">
        <f t="shared" si="1"/>
        <v>2510</v>
      </c>
      <c r="M82" s="12">
        <f t="shared" si="2"/>
        <v>502</v>
      </c>
      <c r="N82" s="12">
        <f t="shared" si="3"/>
        <v>25.1</v>
      </c>
      <c r="O82" s="12">
        <f t="shared" si="4"/>
        <v>37.65</v>
      </c>
      <c r="P82" s="12">
        <f t="shared" si="5"/>
        <v>200.8</v>
      </c>
      <c r="Q82" s="12">
        <f t="shared" si="6"/>
        <v>209.083</v>
      </c>
      <c r="R82" s="12">
        <f t="shared" si="7"/>
        <v>69.69433333</v>
      </c>
      <c r="S82" s="12">
        <f t="shared" si="8"/>
        <v>22.30218667</v>
      </c>
      <c r="T82" s="12">
        <f t="shared" si="9"/>
        <v>55.75546667</v>
      </c>
      <c r="U82" s="12">
        <f t="shared" si="10"/>
        <v>209.083</v>
      </c>
      <c r="V82" s="12">
        <f t="shared" si="11"/>
        <v>16.72664</v>
      </c>
      <c r="W82" s="12">
        <f t="shared" si="12"/>
        <v>41.8166</v>
      </c>
      <c r="X82" s="12">
        <f t="shared" si="13"/>
        <v>69.4</v>
      </c>
      <c r="Y82" s="14">
        <f t="shared" si="14"/>
        <v>1459.411227</v>
      </c>
      <c r="Z82" s="15">
        <f t="shared" si="15"/>
        <v>3969.411227</v>
      </c>
      <c r="AA82" s="18"/>
    </row>
    <row r="83" ht="21.0" customHeight="1">
      <c r="A83" s="21" t="s">
        <v>149</v>
      </c>
      <c r="B83" s="9" t="s">
        <v>168</v>
      </c>
      <c r="C83" s="17"/>
      <c r="D83" s="9" t="s">
        <v>170</v>
      </c>
      <c r="E83" s="11">
        <v>45042.0</v>
      </c>
      <c r="F83" s="20">
        <v>2282.0</v>
      </c>
      <c r="G83" s="12">
        <v>0.0</v>
      </c>
      <c r="H83" s="12">
        <v>0.0</v>
      </c>
      <c r="I83" s="12">
        <f>F83*10%</f>
        <v>228.2</v>
      </c>
      <c r="J83" s="12">
        <v>0.0</v>
      </c>
      <c r="K83" s="12">
        <v>0.0</v>
      </c>
      <c r="L83" s="13">
        <f t="shared" si="1"/>
        <v>2510.2</v>
      </c>
      <c r="M83" s="12">
        <f t="shared" si="2"/>
        <v>502.04</v>
      </c>
      <c r="N83" s="12">
        <f t="shared" si="3"/>
        <v>22.82</v>
      </c>
      <c r="O83" s="12">
        <f t="shared" si="4"/>
        <v>34.23</v>
      </c>
      <c r="P83" s="12">
        <f t="shared" si="5"/>
        <v>200.816</v>
      </c>
      <c r="Q83" s="12">
        <f t="shared" si="6"/>
        <v>190.0906</v>
      </c>
      <c r="R83" s="12">
        <f t="shared" si="7"/>
        <v>63.36353333</v>
      </c>
      <c r="S83" s="12">
        <f t="shared" si="8"/>
        <v>20.27633067</v>
      </c>
      <c r="T83" s="12">
        <f t="shared" si="9"/>
        <v>50.69082667</v>
      </c>
      <c r="U83" s="12">
        <f t="shared" si="10"/>
        <v>190.0906</v>
      </c>
      <c r="V83" s="12">
        <f t="shared" si="11"/>
        <v>15.207248</v>
      </c>
      <c r="W83" s="12">
        <f t="shared" si="12"/>
        <v>38.01812</v>
      </c>
      <c r="X83" s="12">
        <f t="shared" si="13"/>
        <v>83.08</v>
      </c>
      <c r="Y83" s="14">
        <f t="shared" si="14"/>
        <v>1410.723259</v>
      </c>
      <c r="Z83" s="15">
        <f t="shared" si="15"/>
        <v>3920.923259</v>
      </c>
      <c r="AA83" s="18"/>
    </row>
    <row r="84" ht="21.0" customHeight="1">
      <c r="A84" s="21" t="s">
        <v>149</v>
      </c>
      <c r="B84" s="9" t="s">
        <v>168</v>
      </c>
      <c r="C84" s="17"/>
      <c r="D84" s="9" t="s">
        <v>171</v>
      </c>
      <c r="E84" s="11">
        <v>45536.0</v>
      </c>
      <c r="F84" s="20">
        <v>2282.0</v>
      </c>
      <c r="G84" s="12">
        <v>0.0</v>
      </c>
      <c r="H84" s="12">
        <v>0.0</v>
      </c>
      <c r="I84" s="12">
        <v>0.0</v>
      </c>
      <c r="J84" s="12">
        <v>0.0</v>
      </c>
      <c r="K84" s="12">
        <v>0.0</v>
      </c>
      <c r="L84" s="13">
        <f t="shared" si="1"/>
        <v>2282</v>
      </c>
      <c r="M84" s="12">
        <f t="shared" si="2"/>
        <v>456.4</v>
      </c>
      <c r="N84" s="12">
        <f t="shared" si="3"/>
        <v>22.82</v>
      </c>
      <c r="O84" s="12">
        <f t="shared" si="4"/>
        <v>34.23</v>
      </c>
      <c r="P84" s="12">
        <f t="shared" si="5"/>
        <v>182.56</v>
      </c>
      <c r="Q84" s="12">
        <f t="shared" si="6"/>
        <v>190.0906</v>
      </c>
      <c r="R84" s="12">
        <f t="shared" si="7"/>
        <v>63.36353333</v>
      </c>
      <c r="S84" s="12">
        <f t="shared" si="8"/>
        <v>20.27633067</v>
      </c>
      <c r="T84" s="12">
        <f t="shared" si="9"/>
        <v>50.69082667</v>
      </c>
      <c r="U84" s="12">
        <f t="shared" si="10"/>
        <v>190.0906</v>
      </c>
      <c r="V84" s="12">
        <f t="shared" si="11"/>
        <v>15.207248</v>
      </c>
      <c r="W84" s="12">
        <f t="shared" si="12"/>
        <v>38.01812</v>
      </c>
      <c r="X84" s="12">
        <f t="shared" si="13"/>
        <v>83.08</v>
      </c>
      <c r="Y84" s="14">
        <f t="shared" si="14"/>
        <v>1346.827259</v>
      </c>
      <c r="Z84" s="15">
        <f t="shared" si="15"/>
        <v>3628.827259</v>
      </c>
      <c r="AA84" s="18"/>
    </row>
    <row r="85" ht="21.0" customHeight="1">
      <c r="A85" s="21" t="s">
        <v>149</v>
      </c>
      <c r="B85" s="9" t="s">
        <v>168</v>
      </c>
      <c r="C85" s="17"/>
      <c r="D85" s="9" t="s">
        <v>172</v>
      </c>
      <c r="E85" s="11">
        <v>45541.0</v>
      </c>
      <c r="F85" s="20">
        <v>2282.0</v>
      </c>
      <c r="G85" s="12">
        <v>0.0</v>
      </c>
      <c r="H85" s="12">
        <v>0.0</v>
      </c>
      <c r="I85" s="12">
        <f>F85*10%</f>
        <v>228.2</v>
      </c>
      <c r="J85" s="12">
        <v>0.0</v>
      </c>
      <c r="K85" s="12">
        <v>0.0</v>
      </c>
      <c r="L85" s="13">
        <f t="shared" si="1"/>
        <v>2510.2</v>
      </c>
      <c r="M85" s="12">
        <f t="shared" si="2"/>
        <v>502.04</v>
      </c>
      <c r="N85" s="12">
        <f t="shared" si="3"/>
        <v>22.82</v>
      </c>
      <c r="O85" s="12">
        <f t="shared" si="4"/>
        <v>34.23</v>
      </c>
      <c r="P85" s="12">
        <f t="shared" si="5"/>
        <v>200.816</v>
      </c>
      <c r="Q85" s="12">
        <f t="shared" si="6"/>
        <v>190.0906</v>
      </c>
      <c r="R85" s="12">
        <f t="shared" si="7"/>
        <v>63.36353333</v>
      </c>
      <c r="S85" s="12">
        <f t="shared" si="8"/>
        <v>20.27633067</v>
      </c>
      <c r="T85" s="12">
        <f t="shared" si="9"/>
        <v>50.69082667</v>
      </c>
      <c r="U85" s="12">
        <f t="shared" si="10"/>
        <v>190.0906</v>
      </c>
      <c r="V85" s="12">
        <f t="shared" si="11"/>
        <v>15.207248</v>
      </c>
      <c r="W85" s="12">
        <f t="shared" si="12"/>
        <v>38.01812</v>
      </c>
      <c r="X85" s="12">
        <f t="shared" si="13"/>
        <v>83.08</v>
      </c>
      <c r="Y85" s="14">
        <f t="shared" si="14"/>
        <v>1410.723259</v>
      </c>
      <c r="Z85" s="15">
        <f t="shared" si="15"/>
        <v>3920.923259</v>
      </c>
      <c r="AA85" s="18"/>
    </row>
    <row r="86" ht="21.0" customHeight="1">
      <c r="A86" s="21" t="s">
        <v>149</v>
      </c>
      <c r="B86" s="9" t="s">
        <v>173</v>
      </c>
      <c r="C86" s="17"/>
      <c r="D86" s="22" t="s">
        <v>174</v>
      </c>
      <c r="E86" s="11">
        <v>44471.0</v>
      </c>
      <c r="F86" s="20">
        <v>2510.0</v>
      </c>
      <c r="G86" s="12">
        <v>0.0</v>
      </c>
      <c r="H86" s="12">
        <v>0.0</v>
      </c>
      <c r="I86" s="12">
        <v>0.0</v>
      </c>
      <c r="J86" s="12">
        <v>0.0</v>
      </c>
      <c r="K86" s="12">
        <v>0.0</v>
      </c>
      <c r="L86" s="13">
        <f t="shared" si="1"/>
        <v>2510</v>
      </c>
      <c r="M86" s="12">
        <f t="shared" si="2"/>
        <v>502</v>
      </c>
      <c r="N86" s="12">
        <f t="shared" si="3"/>
        <v>25.1</v>
      </c>
      <c r="O86" s="12">
        <f t="shared" si="4"/>
        <v>37.65</v>
      </c>
      <c r="P86" s="12">
        <f t="shared" si="5"/>
        <v>200.8</v>
      </c>
      <c r="Q86" s="12">
        <f t="shared" si="6"/>
        <v>209.083</v>
      </c>
      <c r="R86" s="12">
        <f t="shared" si="7"/>
        <v>69.69433333</v>
      </c>
      <c r="S86" s="12">
        <f t="shared" si="8"/>
        <v>22.30218667</v>
      </c>
      <c r="T86" s="12">
        <f t="shared" si="9"/>
        <v>55.75546667</v>
      </c>
      <c r="U86" s="12">
        <f t="shared" si="10"/>
        <v>209.083</v>
      </c>
      <c r="V86" s="12">
        <f t="shared" si="11"/>
        <v>16.72664</v>
      </c>
      <c r="W86" s="12">
        <f t="shared" si="12"/>
        <v>41.8166</v>
      </c>
      <c r="X86" s="12">
        <f t="shared" si="13"/>
        <v>69.4</v>
      </c>
      <c r="Y86" s="14">
        <f t="shared" si="14"/>
        <v>1459.411227</v>
      </c>
      <c r="Z86" s="15">
        <f t="shared" si="15"/>
        <v>3969.411227</v>
      </c>
      <c r="AA86" s="18"/>
    </row>
    <row r="87" ht="21.0" customHeight="1">
      <c r="A87" s="21" t="s">
        <v>149</v>
      </c>
      <c r="B87" s="9" t="s">
        <v>175</v>
      </c>
      <c r="C87" s="17"/>
      <c r="D87" s="9" t="s">
        <v>176</v>
      </c>
      <c r="E87" s="11">
        <v>45622.0</v>
      </c>
      <c r="F87" s="20">
        <v>2282.0</v>
      </c>
      <c r="G87" s="12">
        <v>0.0</v>
      </c>
      <c r="H87" s="12">
        <v>0.0</v>
      </c>
      <c r="I87" s="12">
        <v>0.0</v>
      </c>
      <c r="J87" s="12">
        <v>0.0</v>
      </c>
      <c r="K87" s="12">
        <v>0.0</v>
      </c>
      <c r="L87" s="13">
        <f t="shared" si="1"/>
        <v>2282</v>
      </c>
      <c r="M87" s="12">
        <f t="shared" si="2"/>
        <v>456.4</v>
      </c>
      <c r="N87" s="12">
        <f t="shared" si="3"/>
        <v>22.82</v>
      </c>
      <c r="O87" s="12">
        <f t="shared" si="4"/>
        <v>34.23</v>
      </c>
      <c r="P87" s="12">
        <f t="shared" si="5"/>
        <v>182.56</v>
      </c>
      <c r="Q87" s="12">
        <f t="shared" si="6"/>
        <v>190.0906</v>
      </c>
      <c r="R87" s="12">
        <f t="shared" si="7"/>
        <v>63.36353333</v>
      </c>
      <c r="S87" s="12">
        <f t="shared" si="8"/>
        <v>20.27633067</v>
      </c>
      <c r="T87" s="12">
        <f t="shared" si="9"/>
        <v>50.69082667</v>
      </c>
      <c r="U87" s="12">
        <f t="shared" si="10"/>
        <v>190.0906</v>
      </c>
      <c r="V87" s="12">
        <f t="shared" si="11"/>
        <v>15.207248</v>
      </c>
      <c r="W87" s="12">
        <f t="shared" si="12"/>
        <v>38.01812</v>
      </c>
      <c r="X87" s="12">
        <f t="shared" si="13"/>
        <v>83.08</v>
      </c>
      <c r="Y87" s="14">
        <f t="shared" si="14"/>
        <v>1346.827259</v>
      </c>
      <c r="Z87" s="15">
        <f t="shared" si="15"/>
        <v>3628.827259</v>
      </c>
      <c r="AA87" s="18"/>
    </row>
    <row r="88" ht="21.0" customHeight="1">
      <c r="A88" s="21" t="s">
        <v>149</v>
      </c>
      <c r="B88" s="9" t="s">
        <v>175</v>
      </c>
      <c r="C88" s="17"/>
      <c r="D88" s="9" t="s">
        <v>177</v>
      </c>
      <c r="E88" s="11">
        <v>45434.0</v>
      </c>
      <c r="F88" s="20">
        <v>2282.0</v>
      </c>
      <c r="G88" s="12">
        <v>0.0</v>
      </c>
      <c r="H88" s="12">
        <v>0.0</v>
      </c>
      <c r="I88" s="12">
        <v>0.0</v>
      </c>
      <c r="J88" s="12">
        <v>0.0</v>
      </c>
      <c r="K88" s="12">
        <v>0.0</v>
      </c>
      <c r="L88" s="13">
        <f t="shared" si="1"/>
        <v>2282</v>
      </c>
      <c r="M88" s="12">
        <f t="shared" si="2"/>
        <v>456.4</v>
      </c>
      <c r="N88" s="12">
        <f t="shared" si="3"/>
        <v>22.82</v>
      </c>
      <c r="O88" s="12">
        <f t="shared" si="4"/>
        <v>34.23</v>
      </c>
      <c r="P88" s="12">
        <f t="shared" si="5"/>
        <v>182.56</v>
      </c>
      <c r="Q88" s="12">
        <f t="shared" si="6"/>
        <v>190.0906</v>
      </c>
      <c r="R88" s="12">
        <f t="shared" si="7"/>
        <v>63.36353333</v>
      </c>
      <c r="S88" s="12">
        <f t="shared" si="8"/>
        <v>20.27633067</v>
      </c>
      <c r="T88" s="12">
        <f t="shared" si="9"/>
        <v>50.69082667</v>
      </c>
      <c r="U88" s="12">
        <f t="shared" si="10"/>
        <v>190.0906</v>
      </c>
      <c r="V88" s="12">
        <f t="shared" si="11"/>
        <v>15.207248</v>
      </c>
      <c r="W88" s="12">
        <f t="shared" si="12"/>
        <v>38.01812</v>
      </c>
      <c r="X88" s="12">
        <f t="shared" si="13"/>
        <v>83.08</v>
      </c>
      <c r="Y88" s="14">
        <f t="shared" si="14"/>
        <v>1346.827259</v>
      </c>
      <c r="Z88" s="15">
        <f t="shared" si="15"/>
        <v>3628.827259</v>
      </c>
      <c r="AA88" s="18"/>
    </row>
    <row r="89" ht="21.0" customHeight="1">
      <c r="A89" s="21" t="s">
        <v>149</v>
      </c>
      <c r="B89" s="9" t="s">
        <v>178</v>
      </c>
      <c r="C89" s="17"/>
      <c r="D89" s="9" t="s">
        <v>179</v>
      </c>
      <c r="E89" s="11">
        <v>45315.0</v>
      </c>
      <c r="F89" s="20">
        <v>2190.0</v>
      </c>
      <c r="G89" s="12">
        <v>0.0</v>
      </c>
      <c r="H89" s="12">
        <v>0.0</v>
      </c>
      <c r="I89" s="12">
        <f>F89*10%</f>
        <v>219</v>
      </c>
      <c r="J89" s="12">
        <v>0.0</v>
      </c>
      <c r="K89" s="12">
        <v>0.0</v>
      </c>
      <c r="L89" s="13">
        <f t="shared" si="1"/>
        <v>2409</v>
      </c>
      <c r="M89" s="12">
        <f t="shared" si="2"/>
        <v>481.8</v>
      </c>
      <c r="N89" s="12">
        <f t="shared" si="3"/>
        <v>21.9</v>
      </c>
      <c r="O89" s="12">
        <f t="shared" si="4"/>
        <v>32.85</v>
      </c>
      <c r="P89" s="12">
        <f t="shared" si="5"/>
        <v>192.72</v>
      </c>
      <c r="Q89" s="12">
        <f t="shared" si="6"/>
        <v>182.427</v>
      </c>
      <c r="R89" s="12">
        <f t="shared" si="7"/>
        <v>60.809</v>
      </c>
      <c r="S89" s="12">
        <f t="shared" si="8"/>
        <v>19.45888</v>
      </c>
      <c r="T89" s="12">
        <f t="shared" si="9"/>
        <v>48.6472</v>
      </c>
      <c r="U89" s="12">
        <f t="shared" si="10"/>
        <v>182.427</v>
      </c>
      <c r="V89" s="12">
        <f t="shared" si="11"/>
        <v>14.59416</v>
      </c>
      <c r="W89" s="12">
        <f t="shared" si="12"/>
        <v>36.4854</v>
      </c>
      <c r="X89" s="12">
        <f t="shared" si="13"/>
        <v>88.6</v>
      </c>
      <c r="Y89" s="14">
        <f t="shared" si="14"/>
        <v>1362.71864</v>
      </c>
      <c r="Z89" s="15">
        <f t="shared" si="15"/>
        <v>3771.71864</v>
      </c>
      <c r="AA89" s="18"/>
    </row>
    <row r="90" ht="21.0" customHeight="1">
      <c r="A90" s="21" t="s">
        <v>149</v>
      </c>
      <c r="B90" s="9" t="s">
        <v>178</v>
      </c>
      <c r="C90" s="17"/>
      <c r="D90" s="9" t="s">
        <v>180</v>
      </c>
      <c r="E90" s="11">
        <v>45549.0</v>
      </c>
      <c r="F90" s="20">
        <v>2190.0</v>
      </c>
      <c r="G90" s="12">
        <v>0.0</v>
      </c>
      <c r="H90" s="12">
        <v>0.0</v>
      </c>
      <c r="I90" s="12">
        <v>0.0</v>
      </c>
      <c r="J90" s="12">
        <v>0.0</v>
      </c>
      <c r="K90" s="12">
        <v>0.0</v>
      </c>
      <c r="L90" s="13">
        <f t="shared" si="1"/>
        <v>2190</v>
      </c>
      <c r="M90" s="12">
        <f t="shared" si="2"/>
        <v>438</v>
      </c>
      <c r="N90" s="12">
        <f t="shared" si="3"/>
        <v>21.9</v>
      </c>
      <c r="O90" s="12">
        <f t="shared" si="4"/>
        <v>32.85</v>
      </c>
      <c r="P90" s="12">
        <f t="shared" si="5"/>
        <v>175.2</v>
      </c>
      <c r="Q90" s="12">
        <f t="shared" si="6"/>
        <v>182.427</v>
      </c>
      <c r="R90" s="12">
        <f t="shared" si="7"/>
        <v>60.809</v>
      </c>
      <c r="S90" s="12">
        <f t="shared" si="8"/>
        <v>19.45888</v>
      </c>
      <c r="T90" s="12">
        <f t="shared" si="9"/>
        <v>48.6472</v>
      </c>
      <c r="U90" s="12">
        <f t="shared" si="10"/>
        <v>182.427</v>
      </c>
      <c r="V90" s="12">
        <f t="shared" si="11"/>
        <v>14.59416</v>
      </c>
      <c r="W90" s="12">
        <f t="shared" si="12"/>
        <v>36.4854</v>
      </c>
      <c r="X90" s="12">
        <f t="shared" si="13"/>
        <v>88.6</v>
      </c>
      <c r="Y90" s="14">
        <f t="shared" si="14"/>
        <v>1301.39864</v>
      </c>
      <c r="Z90" s="15">
        <f t="shared" si="15"/>
        <v>3491.39864</v>
      </c>
      <c r="AA90" s="18"/>
    </row>
    <row r="91" ht="21.0" customHeight="1">
      <c r="A91" s="21" t="s">
        <v>181</v>
      </c>
      <c r="B91" s="9" t="s">
        <v>182</v>
      </c>
      <c r="C91" s="17"/>
      <c r="D91" s="9" t="s">
        <v>183</v>
      </c>
      <c r="E91" s="11">
        <v>45451.0</v>
      </c>
      <c r="F91" s="20">
        <v>2905.0</v>
      </c>
      <c r="G91" s="12">
        <f>F91*40%</f>
        <v>1162</v>
      </c>
      <c r="H91" s="12">
        <v>0.0</v>
      </c>
      <c r="I91" s="12">
        <v>0.0</v>
      </c>
      <c r="J91" s="12">
        <v>0.0</v>
      </c>
      <c r="K91" s="12">
        <v>0.0</v>
      </c>
      <c r="L91" s="13">
        <f t="shared" si="1"/>
        <v>4067</v>
      </c>
      <c r="M91" s="12">
        <f t="shared" si="2"/>
        <v>813.4</v>
      </c>
      <c r="N91" s="12">
        <f t="shared" si="3"/>
        <v>29.05</v>
      </c>
      <c r="O91" s="12">
        <f t="shared" si="4"/>
        <v>43.575</v>
      </c>
      <c r="P91" s="12">
        <f t="shared" si="5"/>
        <v>325.36</v>
      </c>
      <c r="Q91" s="12">
        <f t="shared" si="6"/>
        <v>241.9865</v>
      </c>
      <c r="R91" s="12">
        <f t="shared" si="7"/>
        <v>80.66216667</v>
      </c>
      <c r="S91" s="12">
        <f t="shared" si="8"/>
        <v>25.81189333</v>
      </c>
      <c r="T91" s="12">
        <f t="shared" si="9"/>
        <v>64.52973333</v>
      </c>
      <c r="U91" s="12">
        <f t="shared" si="10"/>
        <v>241.9865</v>
      </c>
      <c r="V91" s="12">
        <f t="shared" si="11"/>
        <v>19.35892</v>
      </c>
      <c r="W91" s="12">
        <f t="shared" si="12"/>
        <v>48.3973</v>
      </c>
      <c r="X91" s="12">
        <f t="shared" si="13"/>
        <v>45.7</v>
      </c>
      <c r="Y91" s="14">
        <f t="shared" si="14"/>
        <v>1979.818013</v>
      </c>
      <c r="Z91" s="15">
        <f t="shared" si="15"/>
        <v>6046.818013</v>
      </c>
      <c r="AA91" s="18"/>
    </row>
    <row r="92" ht="21.0" customHeight="1">
      <c r="A92" s="21" t="s">
        <v>181</v>
      </c>
      <c r="B92" s="9" t="s">
        <v>154</v>
      </c>
      <c r="C92" s="28"/>
      <c r="D92" s="9" t="s">
        <v>184</v>
      </c>
      <c r="E92" s="11">
        <v>45775.0</v>
      </c>
      <c r="F92" s="20">
        <v>2880.0</v>
      </c>
      <c r="G92" s="12">
        <v>0.0</v>
      </c>
      <c r="H92" s="12">
        <v>0.0</v>
      </c>
      <c r="I92" s="12">
        <v>0.0</v>
      </c>
      <c r="J92" s="12">
        <v>0.0</v>
      </c>
      <c r="K92" s="12">
        <v>0.0</v>
      </c>
      <c r="L92" s="13">
        <f t="shared" si="1"/>
        <v>2880</v>
      </c>
      <c r="M92" s="12">
        <f t="shared" si="2"/>
        <v>576</v>
      </c>
      <c r="N92" s="12">
        <f t="shared" si="3"/>
        <v>28.8</v>
      </c>
      <c r="O92" s="12">
        <f t="shared" si="4"/>
        <v>43.2</v>
      </c>
      <c r="P92" s="12">
        <f t="shared" si="5"/>
        <v>230.4</v>
      </c>
      <c r="Q92" s="12">
        <f t="shared" si="6"/>
        <v>239.904</v>
      </c>
      <c r="R92" s="12">
        <f t="shared" si="7"/>
        <v>79.968</v>
      </c>
      <c r="S92" s="12">
        <f t="shared" si="8"/>
        <v>25.58976</v>
      </c>
      <c r="T92" s="12">
        <f t="shared" si="9"/>
        <v>63.9744</v>
      </c>
      <c r="U92" s="12">
        <f t="shared" si="10"/>
        <v>239.904</v>
      </c>
      <c r="V92" s="12">
        <f t="shared" si="11"/>
        <v>19.19232</v>
      </c>
      <c r="W92" s="12">
        <f t="shared" si="12"/>
        <v>47.9808</v>
      </c>
      <c r="X92" s="12">
        <f t="shared" si="13"/>
        <v>47.2</v>
      </c>
      <c r="Y92" s="14">
        <f t="shared" si="14"/>
        <v>1642.11328</v>
      </c>
      <c r="Z92" s="15">
        <f t="shared" si="15"/>
        <v>4522.11328</v>
      </c>
      <c r="AA92" s="18"/>
    </row>
    <row r="93" ht="21.0" customHeight="1">
      <c r="A93" s="21" t="s">
        <v>181</v>
      </c>
      <c r="B93" s="9" t="s">
        <v>185</v>
      </c>
      <c r="C93" s="17"/>
      <c r="D93" s="9" t="s">
        <v>186</v>
      </c>
      <c r="E93" s="11">
        <v>44676.0</v>
      </c>
      <c r="F93" s="20">
        <v>2760.0</v>
      </c>
      <c r="G93" s="12">
        <v>0.0</v>
      </c>
      <c r="H93" s="12">
        <v>0.0</v>
      </c>
      <c r="I93" s="12">
        <v>0.0</v>
      </c>
      <c r="J93" s="12">
        <v>0.0</v>
      </c>
      <c r="K93" s="12">
        <v>0.0</v>
      </c>
      <c r="L93" s="13">
        <f t="shared" si="1"/>
        <v>2760</v>
      </c>
      <c r="M93" s="12">
        <f t="shared" si="2"/>
        <v>552</v>
      </c>
      <c r="N93" s="12">
        <f t="shared" si="3"/>
        <v>27.6</v>
      </c>
      <c r="O93" s="12">
        <f t="shared" si="4"/>
        <v>41.4</v>
      </c>
      <c r="P93" s="12">
        <f t="shared" si="5"/>
        <v>220.8</v>
      </c>
      <c r="Q93" s="12">
        <f t="shared" si="6"/>
        <v>229.908</v>
      </c>
      <c r="R93" s="12">
        <f t="shared" si="7"/>
        <v>76.636</v>
      </c>
      <c r="S93" s="12">
        <f t="shared" si="8"/>
        <v>24.52352</v>
      </c>
      <c r="T93" s="12">
        <f t="shared" si="9"/>
        <v>61.3088</v>
      </c>
      <c r="U93" s="12">
        <f t="shared" si="10"/>
        <v>229.908</v>
      </c>
      <c r="V93" s="12">
        <f t="shared" si="11"/>
        <v>18.39264</v>
      </c>
      <c r="W93" s="12">
        <f t="shared" si="12"/>
        <v>45.9816</v>
      </c>
      <c r="X93" s="12">
        <f t="shared" si="13"/>
        <v>54.4</v>
      </c>
      <c r="Y93" s="14">
        <f t="shared" si="14"/>
        <v>1582.85856</v>
      </c>
      <c r="Z93" s="15">
        <f t="shared" si="15"/>
        <v>4342.85856</v>
      </c>
      <c r="AA93" s="18"/>
    </row>
    <row r="94" ht="21.0" customHeight="1">
      <c r="A94" s="21" t="s">
        <v>181</v>
      </c>
      <c r="B94" s="9" t="s">
        <v>185</v>
      </c>
      <c r="C94" s="17"/>
      <c r="D94" s="9" t="s">
        <v>187</v>
      </c>
      <c r="E94" s="11">
        <v>45610.0</v>
      </c>
      <c r="F94" s="20">
        <v>2400.0</v>
      </c>
      <c r="G94" s="12">
        <v>0.0</v>
      </c>
      <c r="H94" s="12">
        <v>0.0</v>
      </c>
      <c r="I94" s="12">
        <v>0.0</v>
      </c>
      <c r="J94" s="12">
        <v>0.0</v>
      </c>
      <c r="K94" s="12">
        <v>0.0</v>
      </c>
      <c r="L94" s="13">
        <f t="shared" si="1"/>
        <v>2400</v>
      </c>
      <c r="M94" s="12">
        <f t="shared" si="2"/>
        <v>480</v>
      </c>
      <c r="N94" s="12">
        <f t="shared" si="3"/>
        <v>24</v>
      </c>
      <c r="O94" s="12">
        <f t="shared" si="4"/>
        <v>36</v>
      </c>
      <c r="P94" s="12">
        <f t="shared" si="5"/>
        <v>192</v>
      </c>
      <c r="Q94" s="12">
        <f t="shared" si="6"/>
        <v>199.92</v>
      </c>
      <c r="R94" s="12">
        <f t="shared" si="7"/>
        <v>66.64</v>
      </c>
      <c r="S94" s="12">
        <f t="shared" si="8"/>
        <v>21.3248</v>
      </c>
      <c r="T94" s="12">
        <f t="shared" si="9"/>
        <v>53.312</v>
      </c>
      <c r="U94" s="12">
        <f t="shared" si="10"/>
        <v>199.92</v>
      </c>
      <c r="V94" s="12">
        <f t="shared" si="11"/>
        <v>15.9936</v>
      </c>
      <c r="W94" s="12">
        <f t="shared" si="12"/>
        <v>39.984</v>
      </c>
      <c r="X94" s="12">
        <f t="shared" si="13"/>
        <v>76</v>
      </c>
      <c r="Y94" s="14">
        <f t="shared" si="14"/>
        <v>1405.0944</v>
      </c>
      <c r="Z94" s="15">
        <f t="shared" si="15"/>
        <v>3805.0944</v>
      </c>
      <c r="AA94" s="18"/>
    </row>
    <row r="95" ht="21.0" customHeight="1">
      <c r="A95" s="21" t="s">
        <v>181</v>
      </c>
      <c r="B95" s="9" t="s">
        <v>185</v>
      </c>
      <c r="C95" s="17"/>
      <c r="D95" s="9" t="s">
        <v>188</v>
      </c>
      <c r="E95" s="11">
        <v>44828.0</v>
      </c>
      <c r="F95" s="20">
        <v>2400.0</v>
      </c>
      <c r="G95" s="12">
        <v>0.0</v>
      </c>
      <c r="H95" s="12">
        <v>0.0</v>
      </c>
      <c r="I95" s="12">
        <v>0.0</v>
      </c>
      <c r="J95" s="12">
        <v>0.0</v>
      </c>
      <c r="K95" s="12">
        <v>0.0</v>
      </c>
      <c r="L95" s="13">
        <f t="shared" si="1"/>
        <v>2400</v>
      </c>
      <c r="M95" s="12">
        <f t="shared" si="2"/>
        <v>480</v>
      </c>
      <c r="N95" s="12">
        <f t="shared" si="3"/>
        <v>24</v>
      </c>
      <c r="O95" s="12">
        <f t="shared" si="4"/>
        <v>36</v>
      </c>
      <c r="P95" s="12">
        <f t="shared" si="5"/>
        <v>192</v>
      </c>
      <c r="Q95" s="12">
        <f t="shared" si="6"/>
        <v>199.92</v>
      </c>
      <c r="R95" s="12">
        <f t="shared" si="7"/>
        <v>66.64</v>
      </c>
      <c r="S95" s="12">
        <f t="shared" si="8"/>
        <v>21.3248</v>
      </c>
      <c r="T95" s="12">
        <f t="shared" si="9"/>
        <v>53.312</v>
      </c>
      <c r="U95" s="12">
        <f t="shared" si="10"/>
        <v>199.92</v>
      </c>
      <c r="V95" s="12">
        <f t="shared" si="11"/>
        <v>15.9936</v>
      </c>
      <c r="W95" s="12">
        <f t="shared" si="12"/>
        <v>39.984</v>
      </c>
      <c r="X95" s="12">
        <f t="shared" si="13"/>
        <v>76</v>
      </c>
      <c r="Y95" s="14">
        <f t="shared" si="14"/>
        <v>1405.0944</v>
      </c>
      <c r="Z95" s="15">
        <f t="shared" si="15"/>
        <v>3805.0944</v>
      </c>
      <c r="AA95" s="18"/>
    </row>
    <row r="96" ht="21.0" customHeight="1">
      <c r="A96" s="21" t="s">
        <v>181</v>
      </c>
      <c r="B96" s="9" t="s">
        <v>166</v>
      </c>
      <c r="C96" s="17"/>
      <c r="D96" s="9" t="s">
        <v>189</v>
      </c>
      <c r="E96" s="11">
        <v>45223.0</v>
      </c>
      <c r="F96" s="20">
        <v>2282.0</v>
      </c>
      <c r="G96" s="12">
        <v>0.0</v>
      </c>
      <c r="H96" s="12">
        <v>0.0</v>
      </c>
      <c r="I96" s="12">
        <v>0.0</v>
      </c>
      <c r="J96" s="12">
        <v>0.0</v>
      </c>
      <c r="K96" s="12">
        <v>0.0</v>
      </c>
      <c r="L96" s="13">
        <f t="shared" si="1"/>
        <v>2282</v>
      </c>
      <c r="M96" s="12">
        <f t="shared" si="2"/>
        <v>456.4</v>
      </c>
      <c r="N96" s="12">
        <f t="shared" si="3"/>
        <v>22.82</v>
      </c>
      <c r="O96" s="12">
        <f t="shared" si="4"/>
        <v>34.23</v>
      </c>
      <c r="P96" s="12">
        <f t="shared" si="5"/>
        <v>182.56</v>
      </c>
      <c r="Q96" s="12">
        <f t="shared" si="6"/>
        <v>190.0906</v>
      </c>
      <c r="R96" s="12">
        <f t="shared" si="7"/>
        <v>63.36353333</v>
      </c>
      <c r="S96" s="12">
        <f t="shared" si="8"/>
        <v>20.27633067</v>
      </c>
      <c r="T96" s="12">
        <f t="shared" si="9"/>
        <v>50.69082667</v>
      </c>
      <c r="U96" s="12">
        <f t="shared" si="10"/>
        <v>190.0906</v>
      </c>
      <c r="V96" s="12">
        <f t="shared" si="11"/>
        <v>15.207248</v>
      </c>
      <c r="W96" s="12">
        <f t="shared" si="12"/>
        <v>38.01812</v>
      </c>
      <c r="X96" s="12">
        <f t="shared" si="13"/>
        <v>83.08</v>
      </c>
      <c r="Y96" s="14">
        <f t="shared" si="14"/>
        <v>1346.827259</v>
      </c>
      <c r="Z96" s="15">
        <f t="shared" si="15"/>
        <v>3628.827259</v>
      </c>
      <c r="AA96" s="18"/>
    </row>
    <row r="97" ht="21.0" customHeight="1">
      <c r="A97" s="21" t="s">
        <v>181</v>
      </c>
      <c r="B97" s="9" t="s">
        <v>166</v>
      </c>
      <c r="C97" s="17"/>
      <c r="D97" s="9" t="s">
        <v>190</v>
      </c>
      <c r="E97" s="11">
        <v>45234.0</v>
      </c>
      <c r="F97" s="20">
        <v>2282.0</v>
      </c>
      <c r="G97" s="12">
        <v>0.0</v>
      </c>
      <c r="H97" s="12">
        <v>0.0</v>
      </c>
      <c r="I97" s="12">
        <v>0.0</v>
      </c>
      <c r="J97" s="12">
        <v>0.0</v>
      </c>
      <c r="K97" s="12">
        <v>0.0</v>
      </c>
      <c r="L97" s="13">
        <f t="shared" si="1"/>
        <v>2282</v>
      </c>
      <c r="M97" s="12">
        <f t="shared" si="2"/>
        <v>456.4</v>
      </c>
      <c r="N97" s="12">
        <f t="shared" si="3"/>
        <v>22.82</v>
      </c>
      <c r="O97" s="12">
        <f t="shared" si="4"/>
        <v>34.23</v>
      </c>
      <c r="P97" s="12">
        <f t="shared" si="5"/>
        <v>182.56</v>
      </c>
      <c r="Q97" s="12">
        <f t="shared" si="6"/>
        <v>190.0906</v>
      </c>
      <c r="R97" s="12">
        <f t="shared" si="7"/>
        <v>63.36353333</v>
      </c>
      <c r="S97" s="12">
        <f t="shared" si="8"/>
        <v>20.27633067</v>
      </c>
      <c r="T97" s="12">
        <f t="shared" si="9"/>
        <v>50.69082667</v>
      </c>
      <c r="U97" s="12">
        <f t="shared" si="10"/>
        <v>190.0906</v>
      </c>
      <c r="V97" s="12">
        <f t="shared" si="11"/>
        <v>15.207248</v>
      </c>
      <c r="W97" s="12">
        <f t="shared" si="12"/>
        <v>38.01812</v>
      </c>
      <c r="X97" s="12">
        <f t="shared" si="13"/>
        <v>83.08</v>
      </c>
      <c r="Y97" s="14">
        <f t="shared" si="14"/>
        <v>1346.827259</v>
      </c>
      <c r="Z97" s="15">
        <f t="shared" si="15"/>
        <v>3628.827259</v>
      </c>
      <c r="AA97" s="18"/>
    </row>
    <row r="98" ht="21.0" customHeight="1">
      <c r="A98" s="21" t="s">
        <v>181</v>
      </c>
      <c r="B98" s="9" t="s">
        <v>166</v>
      </c>
      <c r="C98" s="17"/>
      <c r="D98" s="9" t="s">
        <v>191</v>
      </c>
      <c r="E98" s="11">
        <v>45253.0</v>
      </c>
      <c r="F98" s="20">
        <v>2282.0</v>
      </c>
      <c r="G98" s="12">
        <v>0.0</v>
      </c>
      <c r="H98" s="12">
        <v>0.0</v>
      </c>
      <c r="I98" s="12">
        <v>0.0</v>
      </c>
      <c r="J98" s="12">
        <v>0.0</v>
      </c>
      <c r="K98" s="12">
        <v>0.0</v>
      </c>
      <c r="L98" s="13">
        <f t="shared" si="1"/>
        <v>2282</v>
      </c>
      <c r="M98" s="12">
        <f t="shared" si="2"/>
        <v>456.4</v>
      </c>
      <c r="N98" s="12">
        <f t="shared" si="3"/>
        <v>22.82</v>
      </c>
      <c r="O98" s="12">
        <f t="shared" si="4"/>
        <v>34.23</v>
      </c>
      <c r="P98" s="12">
        <f t="shared" si="5"/>
        <v>182.56</v>
      </c>
      <c r="Q98" s="12">
        <f t="shared" si="6"/>
        <v>190.0906</v>
      </c>
      <c r="R98" s="12">
        <f t="shared" si="7"/>
        <v>63.36353333</v>
      </c>
      <c r="S98" s="12">
        <f t="shared" si="8"/>
        <v>20.27633067</v>
      </c>
      <c r="T98" s="12">
        <f t="shared" si="9"/>
        <v>50.69082667</v>
      </c>
      <c r="U98" s="12">
        <f t="shared" si="10"/>
        <v>190.0906</v>
      </c>
      <c r="V98" s="12">
        <f t="shared" si="11"/>
        <v>15.207248</v>
      </c>
      <c r="W98" s="12">
        <f t="shared" si="12"/>
        <v>38.01812</v>
      </c>
      <c r="X98" s="12">
        <f t="shared" si="13"/>
        <v>83.08</v>
      </c>
      <c r="Y98" s="14">
        <f t="shared" si="14"/>
        <v>1346.827259</v>
      </c>
      <c r="Z98" s="15">
        <f t="shared" si="15"/>
        <v>3628.827259</v>
      </c>
      <c r="AA98" s="18"/>
    </row>
    <row r="99" ht="21.0" customHeight="1">
      <c r="A99" s="21" t="s">
        <v>181</v>
      </c>
      <c r="B99" s="9" t="s">
        <v>166</v>
      </c>
      <c r="C99" s="17"/>
      <c r="D99" s="9" t="s">
        <v>192</v>
      </c>
      <c r="E99" s="11">
        <v>45329.0</v>
      </c>
      <c r="F99" s="20">
        <v>2282.0</v>
      </c>
      <c r="G99" s="12">
        <v>0.0</v>
      </c>
      <c r="H99" s="12">
        <v>0.0</v>
      </c>
      <c r="I99" s="12">
        <f>F99*20%</f>
        <v>456.4</v>
      </c>
      <c r="J99" s="12">
        <v>0.0</v>
      </c>
      <c r="K99" s="12">
        <v>0.0</v>
      </c>
      <c r="L99" s="13">
        <f t="shared" si="1"/>
        <v>2738.4</v>
      </c>
      <c r="M99" s="12">
        <f t="shared" si="2"/>
        <v>547.68</v>
      </c>
      <c r="N99" s="12">
        <f t="shared" si="3"/>
        <v>22.82</v>
      </c>
      <c r="O99" s="12">
        <f t="shared" si="4"/>
        <v>34.23</v>
      </c>
      <c r="P99" s="12">
        <f t="shared" si="5"/>
        <v>219.072</v>
      </c>
      <c r="Q99" s="12">
        <f t="shared" si="6"/>
        <v>190.0906</v>
      </c>
      <c r="R99" s="12">
        <f t="shared" si="7"/>
        <v>63.36353333</v>
      </c>
      <c r="S99" s="12">
        <f t="shared" si="8"/>
        <v>20.27633067</v>
      </c>
      <c r="T99" s="12">
        <f t="shared" si="9"/>
        <v>50.69082667</v>
      </c>
      <c r="U99" s="12">
        <f t="shared" si="10"/>
        <v>190.0906</v>
      </c>
      <c r="V99" s="12">
        <f t="shared" si="11"/>
        <v>15.207248</v>
      </c>
      <c r="W99" s="12">
        <f t="shared" si="12"/>
        <v>38.01812</v>
      </c>
      <c r="X99" s="12">
        <f t="shared" si="13"/>
        <v>83.08</v>
      </c>
      <c r="Y99" s="14">
        <f t="shared" si="14"/>
        <v>1474.619259</v>
      </c>
      <c r="Z99" s="15">
        <f t="shared" si="15"/>
        <v>4213.019259</v>
      </c>
      <c r="AA99" s="18"/>
    </row>
    <row r="100" ht="21.0" customHeight="1">
      <c r="A100" s="21" t="s">
        <v>181</v>
      </c>
      <c r="B100" s="9" t="s">
        <v>193</v>
      </c>
      <c r="C100" s="28"/>
      <c r="D100" s="24" t="s">
        <v>194</v>
      </c>
      <c r="E100" s="11">
        <v>45737.0</v>
      </c>
      <c r="F100" s="20">
        <v>2190.0</v>
      </c>
      <c r="G100" s="12">
        <v>0.0</v>
      </c>
      <c r="H100" s="12">
        <v>0.0</v>
      </c>
      <c r="I100" s="12">
        <v>0.0</v>
      </c>
      <c r="J100" s="12">
        <v>0.0</v>
      </c>
      <c r="K100" s="12">
        <v>0.0</v>
      </c>
      <c r="L100" s="13">
        <f t="shared" si="1"/>
        <v>2190</v>
      </c>
      <c r="M100" s="12">
        <f t="shared" si="2"/>
        <v>438</v>
      </c>
      <c r="N100" s="12">
        <f t="shared" si="3"/>
        <v>21.9</v>
      </c>
      <c r="O100" s="12">
        <f t="shared" si="4"/>
        <v>32.85</v>
      </c>
      <c r="P100" s="12">
        <f t="shared" si="5"/>
        <v>175.2</v>
      </c>
      <c r="Q100" s="12">
        <f t="shared" si="6"/>
        <v>182.427</v>
      </c>
      <c r="R100" s="12">
        <f t="shared" si="7"/>
        <v>60.809</v>
      </c>
      <c r="S100" s="12">
        <f t="shared" si="8"/>
        <v>19.45888</v>
      </c>
      <c r="T100" s="12">
        <f t="shared" si="9"/>
        <v>48.6472</v>
      </c>
      <c r="U100" s="12">
        <f t="shared" si="10"/>
        <v>182.427</v>
      </c>
      <c r="V100" s="12">
        <f t="shared" si="11"/>
        <v>14.59416</v>
      </c>
      <c r="W100" s="12">
        <f t="shared" si="12"/>
        <v>36.4854</v>
      </c>
      <c r="X100" s="12">
        <f t="shared" si="13"/>
        <v>88.6</v>
      </c>
      <c r="Y100" s="14">
        <f t="shared" si="14"/>
        <v>1301.39864</v>
      </c>
      <c r="Z100" s="15">
        <f t="shared" si="15"/>
        <v>3491.39864</v>
      </c>
      <c r="AA100" s="18"/>
    </row>
    <row r="101" ht="21.0" customHeight="1">
      <c r="A101" s="21" t="s">
        <v>181</v>
      </c>
      <c r="B101" s="9" t="s">
        <v>193</v>
      </c>
      <c r="C101" s="17"/>
      <c r="D101" s="24" t="s">
        <v>195</v>
      </c>
      <c r="E101" s="25">
        <v>45680.0</v>
      </c>
      <c r="F101" s="12">
        <v>2190.0</v>
      </c>
      <c r="G101" s="12">
        <v>0.0</v>
      </c>
      <c r="H101" s="12">
        <v>0.0</v>
      </c>
      <c r="I101" s="12">
        <v>0.0</v>
      </c>
      <c r="J101" s="12">
        <v>0.0</v>
      </c>
      <c r="K101" s="12">
        <v>0.0</v>
      </c>
      <c r="L101" s="13">
        <f t="shared" si="1"/>
        <v>2190</v>
      </c>
      <c r="M101" s="12">
        <f t="shared" si="2"/>
        <v>438</v>
      </c>
      <c r="N101" s="12">
        <f t="shared" si="3"/>
        <v>21.9</v>
      </c>
      <c r="O101" s="12">
        <f t="shared" si="4"/>
        <v>32.85</v>
      </c>
      <c r="P101" s="12">
        <f t="shared" si="5"/>
        <v>175.2</v>
      </c>
      <c r="Q101" s="12">
        <f t="shared" si="6"/>
        <v>182.427</v>
      </c>
      <c r="R101" s="12">
        <f t="shared" si="7"/>
        <v>60.809</v>
      </c>
      <c r="S101" s="12">
        <f t="shared" si="8"/>
        <v>19.45888</v>
      </c>
      <c r="T101" s="12">
        <f t="shared" si="9"/>
        <v>48.6472</v>
      </c>
      <c r="U101" s="12">
        <f t="shared" si="10"/>
        <v>182.427</v>
      </c>
      <c r="V101" s="12">
        <f t="shared" si="11"/>
        <v>14.59416</v>
      </c>
      <c r="W101" s="12">
        <f t="shared" si="12"/>
        <v>36.4854</v>
      </c>
      <c r="X101" s="12">
        <f t="shared" si="13"/>
        <v>88.6</v>
      </c>
      <c r="Y101" s="14">
        <f t="shared" si="14"/>
        <v>1301.39864</v>
      </c>
      <c r="Z101" s="15">
        <f t="shared" si="15"/>
        <v>3491.39864</v>
      </c>
      <c r="AA101" s="18"/>
    </row>
    <row r="102" ht="21.0" customHeight="1">
      <c r="A102" s="21" t="s">
        <v>196</v>
      </c>
      <c r="B102" s="22" t="s">
        <v>197</v>
      </c>
      <c r="C102" s="17"/>
      <c r="D102" s="22" t="s">
        <v>198</v>
      </c>
      <c r="E102" s="11">
        <v>45602.0</v>
      </c>
      <c r="F102" s="20">
        <v>2715.0</v>
      </c>
      <c r="G102" s="12">
        <v>0.0</v>
      </c>
      <c r="H102" s="12">
        <v>0.0</v>
      </c>
      <c r="I102" s="12">
        <v>0.0</v>
      </c>
      <c r="J102" s="12">
        <v>0.0</v>
      </c>
      <c r="K102" s="12">
        <v>0.0</v>
      </c>
      <c r="L102" s="13">
        <f t="shared" si="1"/>
        <v>2715</v>
      </c>
      <c r="M102" s="12">
        <f t="shared" si="2"/>
        <v>543</v>
      </c>
      <c r="N102" s="12">
        <f t="shared" si="3"/>
        <v>27.15</v>
      </c>
      <c r="O102" s="12">
        <f t="shared" si="4"/>
        <v>40.725</v>
      </c>
      <c r="P102" s="12">
        <f t="shared" si="5"/>
        <v>217.2</v>
      </c>
      <c r="Q102" s="12">
        <f t="shared" si="6"/>
        <v>226.1595</v>
      </c>
      <c r="R102" s="12">
        <f t="shared" si="7"/>
        <v>75.3865</v>
      </c>
      <c r="S102" s="12">
        <f t="shared" si="8"/>
        <v>24.12368</v>
      </c>
      <c r="T102" s="12">
        <f t="shared" si="9"/>
        <v>60.3092</v>
      </c>
      <c r="U102" s="12">
        <f t="shared" si="10"/>
        <v>226.1595</v>
      </c>
      <c r="V102" s="12">
        <f t="shared" si="11"/>
        <v>18.09276</v>
      </c>
      <c r="W102" s="12">
        <f t="shared" si="12"/>
        <v>45.2319</v>
      </c>
      <c r="X102" s="12">
        <f t="shared" si="13"/>
        <v>57.1</v>
      </c>
      <c r="Y102" s="14">
        <f t="shared" si="14"/>
        <v>1560.63804</v>
      </c>
      <c r="Z102" s="15">
        <f t="shared" si="15"/>
        <v>4275.63804</v>
      </c>
      <c r="AA102" s="18"/>
    </row>
    <row r="103" ht="21.0" customHeight="1">
      <c r="A103" s="21" t="s">
        <v>199</v>
      </c>
      <c r="B103" s="9" t="s">
        <v>200</v>
      </c>
      <c r="C103" s="17"/>
      <c r="D103" s="9" t="s">
        <v>201</v>
      </c>
      <c r="E103" s="11">
        <v>44670.0</v>
      </c>
      <c r="F103" s="20">
        <v>2600.0</v>
      </c>
      <c r="G103" s="12">
        <f>F103*40%</f>
        <v>1040</v>
      </c>
      <c r="H103" s="12">
        <v>0.0</v>
      </c>
      <c r="I103" s="12">
        <v>0.0</v>
      </c>
      <c r="J103" s="12">
        <v>0.0</v>
      </c>
      <c r="K103" s="12">
        <v>0.0</v>
      </c>
      <c r="L103" s="13">
        <f t="shared" si="1"/>
        <v>3640</v>
      </c>
      <c r="M103" s="12">
        <f t="shared" si="2"/>
        <v>728</v>
      </c>
      <c r="N103" s="12">
        <f t="shared" si="3"/>
        <v>26</v>
      </c>
      <c r="O103" s="12">
        <f t="shared" si="4"/>
        <v>39</v>
      </c>
      <c r="P103" s="12">
        <f t="shared" si="5"/>
        <v>291.2</v>
      </c>
      <c r="Q103" s="12">
        <f t="shared" si="6"/>
        <v>216.58</v>
      </c>
      <c r="R103" s="12">
        <f t="shared" si="7"/>
        <v>72.19333333</v>
      </c>
      <c r="S103" s="12">
        <f t="shared" si="8"/>
        <v>23.10186667</v>
      </c>
      <c r="T103" s="12">
        <f t="shared" si="9"/>
        <v>57.75466667</v>
      </c>
      <c r="U103" s="12">
        <f t="shared" si="10"/>
        <v>216.58</v>
      </c>
      <c r="V103" s="12">
        <f t="shared" si="11"/>
        <v>17.3264</v>
      </c>
      <c r="W103" s="12">
        <f t="shared" si="12"/>
        <v>43.316</v>
      </c>
      <c r="X103" s="12">
        <f t="shared" si="13"/>
        <v>64</v>
      </c>
      <c r="Y103" s="14">
        <f t="shared" si="14"/>
        <v>1795.052267</v>
      </c>
      <c r="Z103" s="15">
        <f t="shared" si="15"/>
        <v>5435.052267</v>
      </c>
      <c r="AA103" s="18"/>
    </row>
    <row r="104" ht="21.0" customHeight="1">
      <c r="A104" s="21" t="s">
        <v>199</v>
      </c>
      <c r="B104" s="9" t="s">
        <v>202</v>
      </c>
      <c r="C104" s="17"/>
      <c r="D104" s="9" t="s">
        <v>203</v>
      </c>
      <c r="E104" s="11">
        <v>45713.0</v>
      </c>
      <c r="F104" s="20">
        <v>2785.0</v>
      </c>
      <c r="G104" s="12">
        <v>0.0</v>
      </c>
      <c r="H104" s="12">
        <v>0.0</v>
      </c>
      <c r="I104" s="12">
        <v>0.0</v>
      </c>
      <c r="J104" s="12">
        <v>0.0</v>
      </c>
      <c r="K104" s="12">
        <v>0.0</v>
      </c>
      <c r="L104" s="13">
        <f t="shared" si="1"/>
        <v>2785</v>
      </c>
      <c r="M104" s="12">
        <f t="shared" si="2"/>
        <v>557</v>
      </c>
      <c r="N104" s="12">
        <f t="shared" si="3"/>
        <v>27.85</v>
      </c>
      <c r="O104" s="12">
        <f t="shared" si="4"/>
        <v>41.775</v>
      </c>
      <c r="P104" s="12">
        <f t="shared" si="5"/>
        <v>222.8</v>
      </c>
      <c r="Q104" s="12">
        <f t="shared" si="6"/>
        <v>231.9905</v>
      </c>
      <c r="R104" s="12">
        <f t="shared" si="7"/>
        <v>77.33016667</v>
      </c>
      <c r="S104" s="12">
        <f t="shared" si="8"/>
        <v>24.74565333</v>
      </c>
      <c r="T104" s="12">
        <f t="shared" si="9"/>
        <v>61.86413333</v>
      </c>
      <c r="U104" s="12">
        <f t="shared" si="10"/>
        <v>231.9905</v>
      </c>
      <c r="V104" s="12">
        <f t="shared" si="11"/>
        <v>18.55924</v>
      </c>
      <c r="W104" s="12">
        <f t="shared" si="12"/>
        <v>46.3981</v>
      </c>
      <c r="X104" s="12">
        <f t="shared" si="13"/>
        <v>52.9</v>
      </c>
      <c r="Y104" s="14">
        <f t="shared" si="14"/>
        <v>1595.203293</v>
      </c>
      <c r="Z104" s="15">
        <f t="shared" si="15"/>
        <v>4380.203293</v>
      </c>
      <c r="AA104" s="18"/>
    </row>
    <row r="105" ht="21.0" customHeight="1">
      <c r="A105" s="21" t="s">
        <v>199</v>
      </c>
      <c r="B105" s="9" t="s">
        <v>204</v>
      </c>
      <c r="C105" s="17"/>
      <c r="D105" s="9" t="s">
        <v>205</v>
      </c>
      <c r="E105" s="11">
        <v>45681.0</v>
      </c>
      <c r="F105" s="20">
        <v>2330.0</v>
      </c>
      <c r="G105" s="12">
        <v>0.0</v>
      </c>
      <c r="H105" s="12">
        <v>0.0</v>
      </c>
      <c r="I105" s="12">
        <v>0.0</v>
      </c>
      <c r="J105" s="12">
        <v>0.0</v>
      </c>
      <c r="K105" s="12">
        <v>0.0</v>
      </c>
      <c r="L105" s="13">
        <f t="shared" si="1"/>
        <v>2330</v>
      </c>
      <c r="M105" s="12">
        <f t="shared" si="2"/>
        <v>466</v>
      </c>
      <c r="N105" s="12">
        <f t="shared" si="3"/>
        <v>23.3</v>
      </c>
      <c r="O105" s="12">
        <f t="shared" si="4"/>
        <v>34.95</v>
      </c>
      <c r="P105" s="12">
        <f t="shared" si="5"/>
        <v>186.4</v>
      </c>
      <c r="Q105" s="12">
        <f t="shared" si="6"/>
        <v>194.089</v>
      </c>
      <c r="R105" s="12">
        <f t="shared" si="7"/>
        <v>64.69633333</v>
      </c>
      <c r="S105" s="12">
        <f t="shared" si="8"/>
        <v>20.70282667</v>
      </c>
      <c r="T105" s="12">
        <f t="shared" si="9"/>
        <v>51.75706667</v>
      </c>
      <c r="U105" s="12">
        <f t="shared" si="10"/>
        <v>194.089</v>
      </c>
      <c r="V105" s="12">
        <f t="shared" si="11"/>
        <v>15.52712</v>
      </c>
      <c r="W105" s="12">
        <f t="shared" si="12"/>
        <v>38.8178</v>
      </c>
      <c r="X105" s="12">
        <f t="shared" si="13"/>
        <v>80.2</v>
      </c>
      <c r="Y105" s="14">
        <f t="shared" si="14"/>
        <v>1370.529147</v>
      </c>
      <c r="Z105" s="15">
        <f t="shared" si="15"/>
        <v>3700.529147</v>
      </c>
      <c r="AA105" s="18"/>
    </row>
    <row r="106" ht="21.0" customHeight="1">
      <c r="A106" s="21" t="s">
        <v>199</v>
      </c>
      <c r="B106" s="9" t="s">
        <v>204</v>
      </c>
      <c r="C106" s="17"/>
      <c r="D106" s="9" t="s">
        <v>206</v>
      </c>
      <c r="E106" s="11">
        <v>45602.0</v>
      </c>
      <c r="F106" s="20">
        <v>2330.0</v>
      </c>
      <c r="G106" s="12">
        <v>0.0</v>
      </c>
      <c r="H106" s="12">
        <v>0.0</v>
      </c>
      <c r="I106" s="12">
        <v>0.0</v>
      </c>
      <c r="J106" s="12">
        <v>0.0</v>
      </c>
      <c r="K106" s="12">
        <v>0.0</v>
      </c>
      <c r="L106" s="13">
        <f t="shared" si="1"/>
        <v>2330</v>
      </c>
      <c r="M106" s="12">
        <f t="shared" si="2"/>
        <v>466</v>
      </c>
      <c r="N106" s="12">
        <f t="shared" si="3"/>
        <v>23.3</v>
      </c>
      <c r="O106" s="12">
        <f t="shared" si="4"/>
        <v>34.95</v>
      </c>
      <c r="P106" s="12">
        <f t="shared" si="5"/>
        <v>186.4</v>
      </c>
      <c r="Q106" s="12">
        <f t="shared" si="6"/>
        <v>194.089</v>
      </c>
      <c r="R106" s="12">
        <f t="shared" si="7"/>
        <v>64.69633333</v>
      </c>
      <c r="S106" s="12">
        <f t="shared" si="8"/>
        <v>20.70282667</v>
      </c>
      <c r="T106" s="12">
        <f t="shared" si="9"/>
        <v>51.75706667</v>
      </c>
      <c r="U106" s="12">
        <f t="shared" si="10"/>
        <v>194.089</v>
      </c>
      <c r="V106" s="12">
        <f t="shared" si="11"/>
        <v>15.52712</v>
      </c>
      <c r="W106" s="12">
        <f t="shared" si="12"/>
        <v>38.8178</v>
      </c>
      <c r="X106" s="12">
        <f t="shared" si="13"/>
        <v>80.2</v>
      </c>
      <c r="Y106" s="14">
        <f t="shared" si="14"/>
        <v>1370.529147</v>
      </c>
      <c r="Z106" s="15">
        <f t="shared" si="15"/>
        <v>3700.529147</v>
      </c>
      <c r="AA106" s="18"/>
    </row>
    <row r="107" ht="21.0" customHeight="1">
      <c r="A107" s="21" t="s">
        <v>207</v>
      </c>
      <c r="B107" s="9" t="s">
        <v>208</v>
      </c>
      <c r="C107" s="17"/>
      <c r="D107" s="9" t="s">
        <v>209</v>
      </c>
      <c r="E107" s="11">
        <v>45404.0</v>
      </c>
      <c r="F107" s="20">
        <v>3250.0</v>
      </c>
      <c r="G107" s="12">
        <v>0.0</v>
      </c>
      <c r="H107" s="12">
        <v>0.0</v>
      </c>
      <c r="I107" s="12">
        <f>F107*20%</f>
        <v>650</v>
      </c>
      <c r="J107" s="12">
        <v>0.0</v>
      </c>
      <c r="K107" s="12">
        <v>0.0</v>
      </c>
      <c r="L107" s="13">
        <f t="shared" si="1"/>
        <v>3900</v>
      </c>
      <c r="M107" s="12">
        <f t="shared" si="2"/>
        <v>780</v>
      </c>
      <c r="N107" s="12">
        <f t="shared" si="3"/>
        <v>32.5</v>
      </c>
      <c r="O107" s="12">
        <f t="shared" si="4"/>
        <v>48.75</v>
      </c>
      <c r="P107" s="12">
        <f t="shared" si="5"/>
        <v>312</v>
      </c>
      <c r="Q107" s="12">
        <f t="shared" si="6"/>
        <v>270.725</v>
      </c>
      <c r="R107" s="12">
        <f t="shared" si="7"/>
        <v>90.24166667</v>
      </c>
      <c r="S107" s="12">
        <f t="shared" si="8"/>
        <v>28.87733333</v>
      </c>
      <c r="T107" s="12">
        <f t="shared" si="9"/>
        <v>72.19333333</v>
      </c>
      <c r="U107" s="12">
        <f t="shared" si="10"/>
        <v>270.725</v>
      </c>
      <c r="V107" s="12">
        <f t="shared" si="11"/>
        <v>21.658</v>
      </c>
      <c r="W107" s="12">
        <f t="shared" si="12"/>
        <v>54.145</v>
      </c>
      <c r="X107" s="12">
        <f t="shared" si="13"/>
        <v>25</v>
      </c>
      <c r="Y107" s="14">
        <f t="shared" si="14"/>
        <v>2006.815333</v>
      </c>
      <c r="Z107" s="15">
        <f t="shared" si="15"/>
        <v>5906.815333</v>
      </c>
      <c r="AA107" s="18"/>
    </row>
    <row r="108" ht="21.0" customHeight="1">
      <c r="A108" s="21" t="s">
        <v>210</v>
      </c>
      <c r="B108" s="9" t="s">
        <v>211</v>
      </c>
      <c r="C108" s="17"/>
      <c r="D108" s="9" t="s">
        <v>212</v>
      </c>
      <c r="E108" s="11">
        <v>44162.0</v>
      </c>
      <c r="F108" s="20">
        <v>3410.0</v>
      </c>
      <c r="G108" s="12">
        <f>F108*40%</f>
        <v>1364</v>
      </c>
      <c r="H108" s="12">
        <v>0.0</v>
      </c>
      <c r="I108" s="12">
        <v>0.0</v>
      </c>
      <c r="J108" s="12">
        <v>0.0</v>
      </c>
      <c r="K108" s="12">
        <v>0.0</v>
      </c>
      <c r="L108" s="13">
        <f t="shared" si="1"/>
        <v>4774</v>
      </c>
      <c r="M108" s="12">
        <f t="shared" si="2"/>
        <v>954.8</v>
      </c>
      <c r="N108" s="12">
        <f t="shared" si="3"/>
        <v>34.1</v>
      </c>
      <c r="O108" s="12">
        <f t="shared" si="4"/>
        <v>51.15</v>
      </c>
      <c r="P108" s="12">
        <f t="shared" si="5"/>
        <v>381.92</v>
      </c>
      <c r="Q108" s="12">
        <f t="shared" si="6"/>
        <v>284.053</v>
      </c>
      <c r="R108" s="12">
        <f t="shared" si="7"/>
        <v>94.68433333</v>
      </c>
      <c r="S108" s="12">
        <f t="shared" si="8"/>
        <v>30.29898667</v>
      </c>
      <c r="T108" s="12">
        <f t="shared" si="9"/>
        <v>75.74746667</v>
      </c>
      <c r="U108" s="12">
        <f t="shared" si="10"/>
        <v>284.053</v>
      </c>
      <c r="V108" s="12">
        <f t="shared" si="11"/>
        <v>22.72424</v>
      </c>
      <c r="W108" s="12">
        <f t="shared" si="12"/>
        <v>56.8106</v>
      </c>
      <c r="X108" s="12">
        <f t="shared" si="13"/>
        <v>15.4</v>
      </c>
      <c r="Y108" s="14">
        <f t="shared" si="14"/>
        <v>2285.741627</v>
      </c>
      <c r="Z108" s="15">
        <f t="shared" si="15"/>
        <v>7059.741627</v>
      </c>
      <c r="AA108" s="18"/>
    </row>
    <row r="109" ht="21.0" customHeight="1">
      <c r="A109" s="21" t="s">
        <v>210</v>
      </c>
      <c r="B109" s="9" t="s">
        <v>213</v>
      </c>
      <c r="C109" s="17"/>
      <c r="D109" s="9" t="s">
        <v>214</v>
      </c>
      <c r="E109" s="11">
        <v>44474.0</v>
      </c>
      <c r="F109" s="20">
        <v>2650.0</v>
      </c>
      <c r="G109" s="12">
        <v>0.0</v>
      </c>
      <c r="H109" s="12">
        <v>0.0</v>
      </c>
      <c r="I109" s="12">
        <f>F109*10%</f>
        <v>265</v>
      </c>
      <c r="J109" s="12">
        <v>0.0</v>
      </c>
      <c r="K109" s="12">
        <v>0.0</v>
      </c>
      <c r="L109" s="13">
        <f t="shared" si="1"/>
        <v>2915</v>
      </c>
      <c r="M109" s="12">
        <f t="shared" si="2"/>
        <v>583</v>
      </c>
      <c r="N109" s="12">
        <f t="shared" si="3"/>
        <v>26.5</v>
      </c>
      <c r="O109" s="12">
        <f t="shared" si="4"/>
        <v>39.75</v>
      </c>
      <c r="P109" s="12">
        <f t="shared" si="5"/>
        <v>233.2</v>
      </c>
      <c r="Q109" s="12">
        <f t="shared" si="6"/>
        <v>220.745</v>
      </c>
      <c r="R109" s="12">
        <f t="shared" si="7"/>
        <v>73.58166667</v>
      </c>
      <c r="S109" s="12">
        <f t="shared" si="8"/>
        <v>23.54613333</v>
      </c>
      <c r="T109" s="12">
        <f t="shared" si="9"/>
        <v>58.86533333</v>
      </c>
      <c r="U109" s="12">
        <f t="shared" si="10"/>
        <v>220.745</v>
      </c>
      <c r="V109" s="12">
        <f t="shared" si="11"/>
        <v>17.6596</v>
      </c>
      <c r="W109" s="12">
        <f t="shared" si="12"/>
        <v>44.149</v>
      </c>
      <c r="X109" s="12">
        <f t="shared" si="13"/>
        <v>61</v>
      </c>
      <c r="Y109" s="14">
        <f t="shared" si="14"/>
        <v>1602.741733</v>
      </c>
      <c r="Z109" s="15">
        <f t="shared" si="15"/>
        <v>4517.741733</v>
      </c>
      <c r="AA109" s="18"/>
    </row>
    <row r="110" ht="21.0" customHeight="1">
      <c r="A110" s="21" t="s">
        <v>215</v>
      </c>
      <c r="B110" s="9" t="s">
        <v>216</v>
      </c>
      <c r="C110" s="17"/>
      <c r="D110" s="9" t="s">
        <v>217</v>
      </c>
      <c r="E110" s="11">
        <v>45566.0</v>
      </c>
      <c r="F110" s="20">
        <v>3395.0</v>
      </c>
      <c r="G110" s="12">
        <v>0.0</v>
      </c>
      <c r="H110" s="12">
        <v>0.0</v>
      </c>
      <c r="I110" s="12">
        <f>F110*20%</f>
        <v>679</v>
      </c>
      <c r="J110" s="12">
        <v>0.0</v>
      </c>
      <c r="K110" s="12">
        <v>0.0</v>
      </c>
      <c r="L110" s="13">
        <f t="shared" si="1"/>
        <v>4074</v>
      </c>
      <c r="M110" s="12">
        <f t="shared" si="2"/>
        <v>814.8</v>
      </c>
      <c r="N110" s="12">
        <f t="shared" si="3"/>
        <v>33.95</v>
      </c>
      <c r="O110" s="12">
        <f t="shared" si="4"/>
        <v>50.925</v>
      </c>
      <c r="P110" s="12">
        <f t="shared" si="5"/>
        <v>325.92</v>
      </c>
      <c r="Q110" s="12">
        <f t="shared" si="6"/>
        <v>282.8035</v>
      </c>
      <c r="R110" s="12">
        <f t="shared" si="7"/>
        <v>94.26783333</v>
      </c>
      <c r="S110" s="12">
        <f t="shared" si="8"/>
        <v>30.16570667</v>
      </c>
      <c r="T110" s="12">
        <f t="shared" si="9"/>
        <v>75.41426667</v>
      </c>
      <c r="U110" s="12">
        <f t="shared" si="10"/>
        <v>282.8035</v>
      </c>
      <c r="V110" s="12">
        <f t="shared" si="11"/>
        <v>22.62428</v>
      </c>
      <c r="W110" s="12">
        <f t="shared" si="12"/>
        <v>56.5607</v>
      </c>
      <c r="X110" s="12">
        <f t="shared" si="13"/>
        <v>16.3</v>
      </c>
      <c r="Y110" s="14">
        <f t="shared" si="14"/>
        <v>2086.534787</v>
      </c>
      <c r="Z110" s="15">
        <f t="shared" si="15"/>
        <v>6160.534787</v>
      </c>
      <c r="AA110" s="18"/>
    </row>
    <row r="111" ht="21.0" customHeight="1">
      <c r="A111" s="21" t="s">
        <v>215</v>
      </c>
      <c r="B111" s="9" t="s">
        <v>218</v>
      </c>
      <c r="C111" s="17"/>
      <c r="D111" s="22" t="s">
        <v>219</v>
      </c>
      <c r="E111" s="11">
        <v>45817.0</v>
      </c>
      <c r="F111" s="20">
        <v>2555.0</v>
      </c>
      <c r="G111" s="12">
        <v>0.0</v>
      </c>
      <c r="H111" s="12">
        <v>0.0</v>
      </c>
      <c r="I111" s="12">
        <v>0.0</v>
      </c>
      <c r="J111" s="12">
        <v>0.0</v>
      </c>
      <c r="K111" s="12">
        <v>0.0</v>
      </c>
      <c r="L111" s="13">
        <f t="shared" si="1"/>
        <v>2555</v>
      </c>
      <c r="M111" s="12">
        <f t="shared" si="2"/>
        <v>511</v>
      </c>
      <c r="N111" s="12">
        <f t="shared" si="3"/>
        <v>25.55</v>
      </c>
      <c r="O111" s="12">
        <f t="shared" si="4"/>
        <v>38.325</v>
      </c>
      <c r="P111" s="12">
        <f t="shared" si="5"/>
        <v>204.4</v>
      </c>
      <c r="Q111" s="12">
        <f t="shared" si="6"/>
        <v>212.8315</v>
      </c>
      <c r="R111" s="12">
        <f t="shared" si="7"/>
        <v>70.94383333</v>
      </c>
      <c r="S111" s="12">
        <f t="shared" si="8"/>
        <v>22.70202667</v>
      </c>
      <c r="T111" s="12">
        <f t="shared" si="9"/>
        <v>56.75506667</v>
      </c>
      <c r="U111" s="12">
        <f t="shared" si="10"/>
        <v>212.8315</v>
      </c>
      <c r="V111" s="12">
        <f t="shared" si="11"/>
        <v>17.02652</v>
      </c>
      <c r="W111" s="12">
        <f t="shared" si="12"/>
        <v>42.5663</v>
      </c>
      <c r="X111" s="12">
        <f t="shared" si="13"/>
        <v>66.7</v>
      </c>
      <c r="Y111" s="14">
        <f t="shared" si="14"/>
        <v>1481.631747</v>
      </c>
      <c r="Z111" s="15">
        <f t="shared" si="15"/>
        <v>4036.631747</v>
      </c>
      <c r="AA111" s="18"/>
    </row>
    <row r="112" ht="21.0" customHeight="1">
      <c r="A112" s="21" t="s">
        <v>215</v>
      </c>
      <c r="B112" s="9" t="s">
        <v>218</v>
      </c>
      <c r="C112" s="17"/>
      <c r="D112" s="9" t="s">
        <v>220</v>
      </c>
      <c r="E112" s="11">
        <v>45761.0</v>
      </c>
      <c r="F112" s="20">
        <v>3065.0</v>
      </c>
      <c r="G112" s="12">
        <v>0.0</v>
      </c>
      <c r="H112" s="12">
        <v>0.0</v>
      </c>
      <c r="I112" s="12">
        <v>0.0</v>
      </c>
      <c r="J112" s="12">
        <v>0.0</v>
      </c>
      <c r="K112" s="12">
        <v>0.0</v>
      </c>
      <c r="L112" s="13">
        <f t="shared" si="1"/>
        <v>3065</v>
      </c>
      <c r="M112" s="12">
        <f t="shared" si="2"/>
        <v>613</v>
      </c>
      <c r="N112" s="12">
        <f t="shared" si="3"/>
        <v>30.65</v>
      </c>
      <c r="O112" s="12">
        <f t="shared" si="4"/>
        <v>45.975</v>
      </c>
      <c r="P112" s="12">
        <f t="shared" si="5"/>
        <v>245.2</v>
      </c>
      <c r="Q112" s="12">
        <f t="shared" si="6"/>
        <v>255.3145</v>
      </c>
      <c r="R112" s="12">
        <f t="shared" si="7"/>
        <v>85.10483333</v>
      </c>
      <c r="S112" s="12">
        <f t="shared" si="8"/>
        <v>27.23354667</v>
      </c>
      <c r="T112" s="12">
        <f t="shared" si="9"/>
        <v>68.08386667</v>
      </c>
      <c r="U112" s="12">
        <f t="shared" si="10"/>
        <v>255.3145</v>
      </c>
      <c r="V112" s="12">
        <f t="shared" si="11"/>
        <v>20.42516</v>
      </c>
      <c r="W112" s="12">
        <f t="shared" si="12"/>
        <v>51.0629</v>
      </c>
      <c r="X112" s="12">
        <f t="shared" si="13"/>
        <v>36.1</v>
      </c>
      <c r="Y112" s="14">
        <f t="shared" si="14"/>
        <v>1733.464307</v>
      </c>
      <c r="Z112" s="15">
        <f t="shared" si="15"/>
        <v>4798.464307</v>
      </c>
      <c r="AA112" s="18"/>
    </row>
    <row r="113" ht="21.0" customHeight="1">
      <c r="A113" s="21" t="s">
        <v>215</v>
      </c>
      <c r="B113" s="9" t="s">
        <v>218</v>
      </c>
      <c r="C113" s="17"/>
      <c r="D113" s="9" t="s">
        <v>221</v>
      </c>
      <c r="E113" s="11">
        <v>45112.0</v>
      </c>
      <c r="F113" s="20">
        <v>2555.0</v>
      </c>
      <c r="G113" s="12">
        <v>0.0</v>
      </c>
      <c r="H113" s="12">
        <v>0.0</v>
      </c>
      <c r="I113" s="12">
        <v>0.0</v>
      </c>
      <c r="J113" s="12">
        <v>0.0</v>
      </c>
      <c r="K113" s="12">
        <v>0.0</v>
      </c>
      <c r="L113" s="13">
        <f t="shared" si="1"/>
        <v>2555</v>
      </c>
      <c r="M113" s="12">
        <f t="shared" si="2"/>
        <v>511</v>
      </c>
      <c r="N113" s="12">
        <f t="shared" si="3"/>
        <v>25.55</v>
      </c>
      <c r="O113" s="12">
        <f t="shared" si="4"/>
        <v>38.325</v>
      </c>
      <c r="P113" s="12">
        <f t="shared" si="5"/>
        <v>204.4</v>
      </c>
      <c r="Q113" s="12">
        <f t="shared" si="6"/>
        <v>212.8315</v>
      </c>
      <c r="R113" s="12">
        <f t="shared" si="7"/>
        <v>70.94383333</v>
      </c>
      <c r="S113" s="12">
        <f t="shared" si="8"/>
        <v>22.70202667</v>
      </c>
      <c r="T113" s="12">
        <f t="shared" si="9"/>
        <v>56.75506667</v>
      </c>
      <c r="U113" s="12">
        <f t="shared" si="10"/>
        <v>212.8315</v>
      </c>
      <c r="V113" s="12">
        <f t="shared" si="11"/>
        <v>17.02652</v>
      </c>
      <c r="W113" s="12">
        <f t="shared" si="12"/>
        <v>42.5663</v>
      </c>
      <c r="X113" s="12">
        <f t="shared" si="13"/>
        <v>66.7</v>
      </c>
      <c r="Y113" s="14">
        <f t="shared" si="14"/>
        <v>1481.631747</v>
      </c>
      <c r="Z113" s="15">
        <f t="shared" si="15"/>
        <v>4036.631747</v>
      </c>
      <c r="AA113" s="18"/>
    </row>
    <row r="114" ht="21.0" customHeight="1">
      <c r="A114" s="21" t="s">
        <v>222</v>
      </c>
      <c r="B114" s="9" t="s">
        <v>223</v>
      </c>
      <c r="C114" s="17"/>
      <c r="D114" s="9" t="s">
        <v>224</v>
      </c>
      <c r="E114" s="11">
        <v>45748.0</v>
      </c>
      <c r="F114" s="20">
        <v>2370.0</v>
      </c>
      <c r="G114" s="12">
        <f>F114*40%</f>
        <v>948</v>
      </c>
      <c r="H114" s="12">
        <v>0.0</v>
      </c>
      <c r="I114" s="12">
        <v>0.0</v>
      </c>
      <c r="J114" s="12">
        <v>0.0</v>
      </c>
      <c r="K114" s="12">
        <v>0.0</v>
      </c>
      <c r="L114" s="13">
        <f t="shared" si="1"/>
        <v>3318</v>
      </c>
      <c r="M114" s="12">
        <f t="shared" si="2"/>
        <v>663.6</v>
      </c>
      <c r="N114" s="12">
        <f t="shared" si="3"/>
        <v>23.7</v>
      </c>
      <c r="O114" s="12">
        <f t="shared" si="4"/>
        <v>35.55</v>
      </c>
      <c r="P114" s="12">
        <f t="shared" si="5"/>
        <v>265.44</v>
      </c>
      <c r="Q114" s="12">
        <f t="shared" si="6"/>
        <v>197.421</v>
      </c>
      <c r="R114" s="12">
        <f t="shared" si="7"/>
        <v>65.807</v>
      </c>
      <c r="S114" s="12">
        <f t="shared" si="8"/>
        <v>21.05824</v>
      </c>
      <c r="T114" s="12">
        <f t="shared" si="9"/>
        <v>52.6456</v>
      </c>
      <c r="U114" s="12">
        <f t="shared" si="10"/>
        <v>197.421</v>
      </c>
      <c r="V114" s="12">
        <f t="shared" si="11"/>
        <v>15.79368</v>
      </c>
      <c r="W114" s="12">
        <f t="shared" si="12"/>
        <v>39.4842</v>
      </c>
      <c r="X114" s="12">
        <f t="shared" si="13"/>
        <v>77.8</v>
      </c>
      <c r="Y114" s="14">
        <f t="shared" si="14"/>
        <v>1655.72072</v>
      </c>
      <c r="Z114" s="15">
        <f t="shared" si="15"/>
        <v>4973.72072</v>
      </c>
      <c r="AA114" s="18"/>
    </row>
    <row r="115" ht="21.0" customHeight="1">
      <c r="A115" s="21" t="s">
        <v>222</v>
      </c>
      <c r="B115" s="9" t="s">
        <v>225</v>
      </c>
      <c r="C115" s="17"/>
      <c r="D115" s="9" t="s">
        <v>226</v>
      </c>
      <c r="E115" s="11">
        <v>45447.0</v>
      </c>
      <c r="F115" s="20">
        <v>2190.0</v>
      </c>
      <c r="G115" s="12">
        <v>0.0</v>
      </c>
      <c r="H115" s="12">
        <v>0.0</v>
      </c>
      <c r="I115" s="12">
        <v>0.0</v>
      </c>
      <c r="J115" s="12">
        <v>0.0</v>
      </c>
      <c r="K115" s="12">
        <v>0.0</v>
      </c>
      <c r="L115" s="13">
        <f t="shared" si="1"/>
        <v>2190</v>
      </c>
      <c r="M115" s="12">
        <f t="shared" si="2"/>
        <v>438</v>
      </c>
      <c r="N115" s="12">
        <f t="shared" si="3"/>
        <v>21.9</v>
      </c>
      <c r="O115" s="12">
        <f t="shared" si="4"/>
        <v>32.85</v>
      </c>
      <c r="P115" s="12">
        <f t="shared" si="5"/>
        <v>175.2</v>
      </c>
      <c r="Q115" s="12">
        <f t="shared" si="6"/>
        <v>182.427</v>
      </c>
      <c r="R115" s="12">
        <f t="shared" si="7"/>
        <v>60.809</v>
      </c>
      <c r="S115" s="12">
        <f t="shared" si="8"/>
        <v>19.45888</v>
      </c>
      <c r="T115" s="12">
        <f t="shared" si="9"/>
        <v>48.6472</v>
      </c>
      <c r="U115" s="12">
        <f t="shared" si="10"/>
        <v>182.427</v>
      </c>
      <c r="V115" s="12">
        <f t="shared" si="11"/>
        <v>14.59416</v>
      </c>
      <c r="W115" s="12">
        <f t="shared" si="12"/>
        <v>36.4854</v>
      </c>
      <c r="X115" s="12">
        <f t="shared" si="13"/>
        <v>88.6</v>
      </c>
      <c r="Y115" s="14">
        <f t="shared" si="14"/>
        <v>1301.39864</v>
      </c>
      <c r="Z115" s="15">
        <f t="shared" si="15"/>
        <v>3491.39864</v>
      </c>
      <c r="AA115" s="18"/>
    </row>
    <row r="116" ht="21.0" customHeight="1">
      <c r="A116" s="21" t="s">
        <v>222</v>
      </c>
      <c r="B116" s="9" t="s">
        <v>225</v>
      </c>
      <c r="C116" s="17"/>
      <c r="D116" s="9" t="s">
        <v>227</v>
      </c>
      <c r="E116" s="11">
        <v>45447.0</v>
      </c>
      <c r="F116" s="20">
        <v>2190.0</v>
      </c>
      <c r="G116" s="12">
        <v>0.0</v>
      </c>
      <c r="H116" s="12">
        <v>0.0</v>
      </c>
      <c r="I116" s="12">
        <v>0.0</v>
      </c>
      <c r="J116" s="12">
        <v>0.0</v>
      </c>
      <c r="K116" s="12">
        <v>0.0</v>
      </c>
      <c r="L116" s="13">
        <f t="shared" si="1"/>
        <v>2190</v>
      </c>
      <c r="M116" s="12">
        <f t="shared" si="2"/>
        <v>438</v>
      </c>
      <c r="N116" s="12">
        <f t="shared" si="3"/>
        <v>21.9</v>
      </c>
      <c r="O116" s="12">
        <f t="shared" si="4"/>
        <v>32.85</v>
      </c>
      <c r="P116" s="12">
        <f t="shared" si="5"/>
        <v>175.2</v>
      </c>
      <c r="Q116" s="12">
        <f t="shared" si="6"/>
        <v>182.427</v>
      </c>
      <c r="R116" s="12">
        <f t="shared" si="7"/>
        <v>60.809</v>
      </c>
      <c r="S116" s="12">
        <f t="shared" si="8"/>
        <v>19.45888</v>
      </c>
      <c r="T116" s="12">
        <f t="shared" si="9"/>
        <v>48.6472</v>
      </c>
      <c r="U116" s="12">
        <f t="shared" si="10"/>
        <v>182.427</v>
      </c>
      <c r="V116" s="12">
        <f t="shared" si="11"/>
        <v>14.59416</v>
      </c>
      <c r="W116" s="12">
        <f t="shared" si="12"/>
        <v>36.4854</v>
      </c>
      <c r="X116" s="12">
        <f t="shared" si="13"/>
        <v>88.6</v>
      </c>
      <c r="Y116" s="14">
        <f t="shared" si="14"/>
        <v>1301.39864</v>
      </c>
      <c r="Z116" s="15">
        <f t="shared" si="15"/>
        <v>3491.39864</v>
      </c>
      <c r="AA116" s="18"/>
    </row>
    <row r="117" ht="21.0" customHeight="1">
      <c r="A117" s="21" t="s">
        <v>222</v>
      </c>
      <c r="B117" s="9" t="s">
        <v>225</v>
      </c>
      <c r="C117" s="17"/>
      <c r="D117" s="9" t="s">
        <v>228</v>
      </c>
      <c r="E117" s="11">
        <v>45566.0</v>
      </c>
      <c r="F117" s="20">
        <v>2190.0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3">
        <f t="shared" si="1"/>
        <v>2190</v>
      </c>
      <c r="M117" s="12">
        <f t="shared" si="2"/>
        <v>438</v>
      </c>
      <c r="N117" s="12">
        <f t="shared" si="3"/>
        <v>21.9</v>
      </c>
      <c r="O117" s="12">
        <f t="shared" si="4"/>
        <v>32.85</v>
      </c>
      <c r="P117" s="12">
        <f t="shared" si="5"/>
        <v>175.2</v>
      </c>
      <c r="Q117" s="12">
        <f t="shared" si="6"/>
        <v>182.427</v>
      </c>
      <c r="R117" s="12">
        <f t="shared" si="7"/>
        <v>60.809</v>
      </c>
      <c r="S117" s="12">
        <f t="shared" si="8"/>
        <v>19.45888</v>
      </c>
      <c r="T117" s="12">
        <f t="shared" si="9"/>
        <v>48.6472</v>
      </c>
      <c r="U117" s="12">
        <f t="shared" si="10"/>
        <v>182.427</v>
      </c>
      <c r="V117" s="12">
        <f t="shared" si="11"/>
        <v>14.59416</v>
      </c>
      <c r="W117" s="12">
        <f t="shared" si="12"/>
        <v>36.4854</v>
      </c>
      <c r="X117" s="12">
        <f t="shared" si="13"/>
        <v>88.6</v>
      </c>
      <c r="Y117" s="14">
        <f t="shared" si="14"/>
        <v>1301.39864</v>
      </c>
      <c r="Z117" s="15">
        <f t="shared" si="15"/>
        <v>3491.39864</v>
      </c>
      <c r="AA117" s="18"/>
    </row>
    <row r="118" ht="21.0" customHeight="1">
      <c r="A118" s="21" t="s">
        <v>222</v>
      </c>
      <c r="B118" s="9" t="s">
        <v>225</v>
      </c>
      <c r="C118" s="17"/>
      <c r="D118" s="9" t="s">
        <v>229</v>
      </c>
      <c r="E118" s="11">
        <v>45292.0</v>
      </c>
      <c r="F118" s="20">
        <v>2190.0</v>
      </c>
      <c r="G118" s="12">
        <v>0.0</v>
      </c>
      <c r="H118" s="12">
        <v>0.0</v>
      </c>
      <c r="I118" s="12">
        <v>0.0</v>
      </c>
      <c r="J118" s="12">
        <v>0.0</v>
      </c>
      <c r="K118" s="12">
        <v>0.0</v>
      </c>
      <c r="L118" s="13">
        <f t="shared" si="1"/>
        <v>2190</v>
      </c>
      <c r="M118" s="12">
        <f t="shared" si="2"/>
        <v>438</v>
      </c>
      <c r="N118" s="12">
        <f t="shared" si="3"/>
        <v>21.9</v>
      </c>
      <c r="O118" s="12">
        <f t="shared" si="4"/>
        <v>32.85</v>
      </c>
      <c r="P118" s="12">
        <f t="shared" si="5"/>
        <v>175.2</v>
      </c>
      <c r="Q118" s="12">
        <f t="shared" si="6"/>
        <v>182.427</v>
      </c>
      <c r="R118" s="12">
        <f t="shared" si="7"/>
        <v>60.809</v>
      </c>
      <c r="S118" s="12">
        <f t="shared" si="8"/>
        <v>19.45888</v>
      </c>
      <c r="T118" s="12">
        <f t="shared" si="9"/>
        <v>48.6472</v>
      </c>
      <c r="U118" s="12">
        <f t="shared" si="10"/>
        <v>182.427</v>
      </c>
      <c r="V118" s="12">
        <f t="shared" si="11"/>
        <v>14.59416</v>
      </c>
      <c r="W118" s="12">
        <f t="shared" si="12"/>
        <v>36.4854</v>
      </c>
      <c r="X118" s="12">
        <f t="shared" si="13"/>
        <v>88.6</v>
      </c>
      <c r="Y118" s="14">
        <f t="shared" si="14"/>
        <v>1301.39864</v>
      </c>
      <c r="Z118" s="15">
        <f t="shared" si="15"/>
        <v>3491.39864</v>
      </c>
      <c r="AA118" s="18"/>
    </row>
    <row r="119" ht="21.0" customHeight="1">
      <c r="A119" s="21" t="s">
        <v>230</v>
      </c>
      <c r="B119" s="22" t="s">
        <v>231</v>
      </c>
      <c r="C119" s="17"/>
      <c r="D119" s="22" t="s">
        <v>232</v>
      </c>
      <c r="E119" s="11">
        <v>44140.0</v>
      </c>
      <c r="F119" s="20">
        <v>2920.0</v>
      </c>
      <c r="G119" s="12">
        <v>0.0</v>
      </c>
      <c r="H119" s="12">
        <v>0.0</v>
      </c>
      <c r="I119" s="12">
        <v>0.0</v>
      </c>
      <c r="J119" s="12">
        <v>0.0</v>
      </c>
      <c r="K119" s="12">
        <v>0.0</v>
      </c>
      <c r="L119" s="13">
        <f t="shared" si="1"/>
        <v>2920</v>
      </c>
      <c r="M119" s="12">
        <f t="shared" si="2"/>
        <v>584</v>
      </c>
      <c r="N119" s="12">
        <f t="shared" si="3"/>
        <v>29.2</v>
      </c>
      <c r="O119" s="12">
        <f t="shared" si="4"/>
        <v>43.8</v>
      </c>
      <c r="P119" s="12">
        <f t="shared" si="5"/>
        <v>233.6</v>
      </c>
      <c r="Q119" s="12">
        <f t="shared" si="6"/>
        <v>243.236</v>
      </c>
      <c r="R119" s="12">
        <f t="shared" si="7"/>
        <v>81.07866667</v>
      </c>
      <c r="S119" s="12">
        <f t="shared" si="8"/>
        <v>25.94517333</v>
      </c>
      <c r="T119" s="12">
        <f t="shared" si="9"/>
        <v>64.86293333</v>
      </c>
      <c r="U119" s="12">
        <f t="shared" si="10"/>
        <v>243.236</v>
      </c>
      <c r="V119" s="12">
        <f t="shared" si="11"/>
        <v>19.45888</v>
      </c>
      <c r="W119" s="12">
        <f t="shared" si="12"/>
        <v>48.6472</v>
      </c>
      <c r="X119" s="12">
        <f t="shared" si="13"/>
        <v>44.8</v>
      </c>
      <c r="Y119" s="14">
        <f t="shared" si="14"/>
        <v>1661.864853</v>
      </c>
      <c r="Z119" s="15">
        <f t="shared" si="15"/>
        <v>4581.864853</v>
      </c>
      <c r="AA119" s="18"/>
    </row>
    <row r="120" ht="21.0" customHeight="1">
      <c r="A120" s="21" t="s">
        <v>233</v>
      </c>
      <c r="B120" s="9" t="s">
        <v>234</v>
      </c>
      <c r="C120" s="17"/>
      <c r="D120" s="9" t="s">
        <v>235</v>
      </c>
      <c r="E120" s="11">
        <v>44497.0</v>
      </c>
      <c r="F120" s="20">
        <v>3210.0</v>
      </c>
      <c r="G120" s="12">
        <v>0.0</v>
      </c>
      <c r="H120" s="12">
        <v>0.0</v>
      </c>
      <c r="I120" s="12">
        <v>0.0</v>
      </c>
      <c r="J120" s="12">
        <v>0.0</v>
      </c>
      <c r="K120" s="12">
        <v>0.0</v>
      </c>
      <c r="L120" s="13">
        <f t="shared" si="1"/>
        <v>3210</v>
      </c>
      <c r="M120" s="12">
        <f t="shared" si="2"/>
        <v>642</v>
      </c>
      <c r="N120" s="12">
        <f t="shared" si="3"/>
        <v>32.1</v>
      </c>
      <c r="O120" s="12">
        <f t="shared" si="4"/>
        <v>48.15</v>
      </c>
      <c r="P120" s="12">
        <f t="shared" si="5"/>
        <v>256.8</v>
      </c>
      <c r="Q120" s="12">
        <f t="shared" si="6"/>
        <v>267.393</v>
      </c>
      <c r="R120" s="12">
        <f t="shared" si="7"/>
        <v>89.131</v>
      </c>
      <c r="S120" s="12">
        <f t="shared" si="8"/>
        <v>28.52192</v>
      </c>
      <c r="T120" s="12">
        <f t="shared" si="9"/>
        <v>71.3048</v>
      </c>
      <c r="U120" s="12">
        <f t="shared" si="10"/>
        <v>267.393</v>
      </c>
      <c r="V120" s="12">
        <f t="shared" si="11"/>
        <v>21.39144</v>
      </c>
      <c r="W120" s="12">
        <f t="shared" si="12"/>
        <v>53.4786</v>
      </c>
      <c r="X120" s="12">
        <f t="shared" si="13"/>
        <v>27.4</v>
      </c>
      <c r="Y120" s="14">
        <f t="shared" si="14"/>
        <v>1805.06376</v>
      </c>
      <c r="Z120" s="15">
        <f t="shared" si="15"/>
        <v>5015.06376</v>
      </c>
      <c r="AA120" s="18"/>
    </row>
    <row r="121" ht="21.0" customHeight="1">
      <c r="A121" s="21" t="s">
        <v>233</v>
      </c>
      <c r="B121" s="9" t="s">
        <v>236</v>
      </c>
      <c r="C121" s="17"/>
      <c r="D121" s="9" t="s">
        <v>237</v>
      </c>
      <c r="E121" s="11">
        <v>45580.0</v>
      </c>
      <c r="F121" s="20">
        <v>2850.0</v>
      </c>
      <c r="G121" s="12">
        <v>0.0</v>
      </c>
      <c r="H121" s="12">
        <v>0.0</v>
      </c>
      <c r="I121" s="12">
        <f>F121*20%</f>
        <v>570</v>
      </c>
      <c r="J121" s="12">
        <v>0.0</v>
      </c>
      <c r="K121" s="12">
        <v>0.0</v>
      </c>
      <c r="L121" s="13">
        <f t="shared" si="1"/>
        <v>3420</v>
      </c>
      <c r="M121" s="12">
        <f t="shared" si="2"/>
        <v>684</v>
      </c>
      <c r="N121" s="12">
        <f t="shared" si="3"/>
        <v>28.5</v>
      </c>
      <c r="O121" s="12">
        <f t="shared" si="4"/>
        <v>42.75</v>
      </c>
      <c r="P121" s="12">
        <f t="shared" si="5"/>
        <v>273.6</v>
      </c>
      <c r="Q121" s="12">
        <f t="shared" si="6"/>
        <v>237.405</v>
      </c>
      <c r="R121" s="12">
        <f t="shared" si="7"/>
        <v>79.135</v>
      </c>
      <c r="S121" s="12">
        <f t="shared" si="8"/>
        <v>25.3232</v>
      </c>
      <c r="T121" s="12">
        <f t="shared" si="9"/>
        <v>63.308</v>
      </c>
      <c r="U121" s="12">
        <f t="shared" si="10"/>
        <v>237.405</v>
      </c>
      <c r="V121" s="12">
        <f t="shared" si="11"/>
        <v>18.9924</v>
      </c>
      <c r="W121" s="12">
        <f t="shared" si="12"/>
        <v>47.481</v>
      </c>
      <c r="X121" s="12">
        <f t="shared" si="13"/>
        <v>49</v>
      </c>
      <c r="Y121" s="14">
        <f t="shared" si="14"/>
        <v>1786.8996</v>
      </c>
      <c r="Z121" s="15">
        <f t="shared" si="15"/>
        <v>5206.8996</v>
      </c>
      <c r="AA121" s="18"/>
    </row>
    <row r="122" ht="21.0" customHeight="1">
      <c r="A122" s="21" t="s">
        <v>233</v>
      </c>
      <c r="B122" s="9" t="s">
        <v>238</v>
      </c>
      <c r="C122" s="17"/>
      <c r="D122" s="9" t="s">
        <v>239</v>
      </c>
      <c r="E122" s="11">
        <v>45617.0</v>
      </c>
      <c r="F122" s="20">
        <v>2576.0</v>
      </c>
      <c r="G122" s="12">
        <v>0.0</v>
      </c>
      <c r="H122" s="12">
        <v>0.0</v>
      </c>
      <c r="I122" s="12">
        <v>0.0</v>
      </c>
      <c r="J122" s="12">
        <v>0.0</v>
      </c>
      <c r="K122" s="12">
        <v>0.0</v>
      </c>
      <c r="L122" s="13">
        <f t="shared" si="1"/>
        <v>2576</v>
      </c>
      <c r="M122" s="12">
        <f t="shared" si="2"/>
        <v>515.2</v>
      </c>
      <c r="N122" s="12">
        <f t="shared" si="3"/>
        <v>25.76</v>
      </c>
      <c r="O122" s="12">
        <f t="shared" si="4"/>
        <v>38.64</v>
      </c>
      <c r="P122" s="12">
        <f t="shared" si="5"/>
        <v>206.08</v>
      </c>
      <c r="Q122" s="12">
        <f t="shared" si="6"/>
        <v>214.5808</v>
      </c>
      <c r="R122" s="12">
        <f t="shared" si="7"/>
        <v>71.52693333</v>
      </c>
      <c r="S122" s="12">
        <f t="shared" si="8"/>
        <v>22.88861867</v>
      </c>
      <c r="T122" s="12">
        <f t="shared" si="9"/>
        <v>57.22154667</v>
      </c>
      <c r="U122" s="12">
        <f t="shared" si="10"/>
        <v>214.5808</v>
      </c>
      <c r="V122" s="12">
        <f t="shared" si="11"/>
        <v>17.166464</v>
      </c>
      <c r="W122" s="12">
        <f t="shared" si="12"/>
        <v>42.91616</v>
      </c>
      <c r="X122" s="12">
        <f t="shared" si="13"/>
        <v>65.44</v>
      </c>
      <c r="Y122" s="14">
        <f t="shared" si="14"/>
        <v>1492.001323</v>
      </c>
      <c r="Z122" s="15">
        <f t="shared" si="15"/>
        <v>4068.001323</v>
      </c>
      <c r="AA122" s="18"/>
    </row>
    <row r="123" ht="21.0" customHeight="1">
      <c r="A123" s="21" t="s">
        <v>233</v>
      </c>
      <c r="B123" s="9" t="s">
        <v>238</v>
      </c>
      <c r="C123" s="17"/>
      <c r="D123" s="9" t="s">
        <v>240</v>
      </c>
      <c r="E123" s="11">
        <v>45640.0</v>
      </c>
      <c r="F123" s="20">
        <v>2576.0</v>
      </c>
      <c r="G123" s="12">
        <v>0.0</v>
      </c>
      <c r="H123" s="12">
        <v>0.0</v>
      </c>
      <c r="I123" s="12">
        <v>0.0</v>
      </c>
      <c r="J123" s="12">
        <v>0.0</v>
      </c>
      <c r="K123" s="12">
        <v>0.0</v>
      </c>
      <c r="L123" s="13">
        <f t="shared" si="1"/>
        <v>2576</v>
      </c>
      <c r="M123" s="12">
        <f t="shared" si="2"/>
        <v>515.2</v>
      </c>
      <c r="N123" s="12">
        <f t="shared" si="3"/>
        <v>25.76</v>
      </c>
      <c r="O123" s="12">
        <f t="shared" si="4"/>
        <v>38.64</v>
      </c>
      <c r="P123" s="12">
        <f t="shared" si="5"/>
        <v>206.08</v>
      </c>
      <c r="Q123" s="12">
        <f t="shared" si="6"/>
        <v>214.5808</v>
      </c>
      <c r="R123" s="12">
        <f t="shared" si="7"/>
        <v>71.52693333</v>
      </c>
      <c r="S123" s="12">
        <f t="shared" si="8"/>
        <v>22.88861867</v>
      </c>
      <c r="T123" s="12">
        <f t="shared" si="9"/>
        <v>57.22154667</v>
      </c>
      <c r="U123" s="12">
        <f t="shared" si="10"/>
        <v>214.5808</v>
      </c>
      <c r="V123" s="12">
        <f t="shared" si="11"/>
        <v>17.166464</v>
      </c>
      <c r="W123" s="12">
        <f t="shared" si="12"/>
        <v>42.91616</v>
      </c>
      <c r="X123" s="12">
        <f t="shared" si="13"/>
        <v>65.44</v>
      </c>
      <c r="Y123" s="14">
        <f t="shared" si="14"/>
        <v>1492.001323</v>
      </c>
      <c r="Z123" s="15">
        <f t="shared" si="15"/>
        <v>4068.001323</v>
      </c>
      <c r="AA123" s="18"/>
    </row>
    <row r="124" ht="21.0" customHeight="1">
      <c r="A124" s="21" t="s">
        <v>233</v>
      </c>
      <c r="B124" s="9" t="s">
        <v>238</v>
      </c>
      <c r="C124" s="17"/>
      <c r="D124" s="24" t="s">
        <v>241</v>
      </c>
      <c r="E124" s="25">
        <v>45700.0</v>
      </c>
      <c r="F124" s="12">
        <v>2576.0</v>
      </c>
      <c r="G124" s="12">
        <v>0.0</v>
      </c>
      <c r="H124" s="12">
        <v>0.0</v>
      </c>
      <c r="I124" s="12">
        <v>0.0</v>
      </c>
      <c r="J124" s="12">
        <v>0.0</v>
      </c>
      <c r="K124" s="12">
        <v>0.0</v>
      </c>
      <c r="L124" s="13">
        <f t="shared" si="1"/>
        <v>2576</v>
      </c>
      <c r="M124" s="12">
        <f t="shared" si="2"/>
        <v>515.2</v>
      </c>
      <c r="N124" s="12">
        <f t="shared" si="3"/>
        <v>25.76</v>
      </c>
      <c r="O124" s="12">
        <f t="shared" si="4"/>
        <v>38.64</v>
      </c>
      <c r="P124" s="12">
        <f t="shared" si="5"/>
        <v>206.08</v>
      </c>
      <c r="Q124" s="12">
        <f t="shared" si="6"/>
        <v>214.5808</v>
      </c>
      <c r="R124" s="12">
        <f t="shared" si="7"/>
        <v>71.52693333</v>
      </c>
      <c r="S124" s="12">
        <f t="shared" si="8"/>
        <v>22.88861867</v>
      </c>
      <c r="T124" s="12">
        <f t="shared" si="9"/>
        <v>57.22154667</v>
      </c>
      <c r="U124" s="12">
        <f t="shared" si="10"/>
        <v>214.5808</v>
      </c>
      <c r="V124" s="12">
        <f t="shared" si="11"/>
        <v>17.166464</v>
      </c>
      <c r="W124" s="12">
        <f t="shared" si="12"/>
        <v>42.91616</v>
      </c>
      <c r="X124" s="12">
        <f t="shared" si="13"/>
        <v>65.44</v>
      </c>
      <c r="Y124" s="14">
        <f t="shared" si="14"/>
        <v>1492.001323</v>
      </c>
      <c r="Z124" s="15">
        <f t="shared" si="15"/>
        <v>4068.001323</v>
      </c>
      <c r="AA124" s="18"/>
    </row>
    <row r="125" ht="21.0" customHeight="1">
      <c r="A125" s="21" t="s">
        <v>242</v>
      </c>
      <c r="B125" s="9" t="s">
        <v>243</v>
      </c>
      <c r="C125" s="17"/>
      <c r="D125" s="9" t="s">
        <v>244</v>
      </c>
      <c r="E125" s="11">
        <v>45446.0</v>
      </c>
      <c r="F125" s="20">
        <v>3485.0</v>
      </c>
      <c r="G125" s="12">
        <v>0.0</v>
      </c>
      <c r="H125" s="12">
        <v>0.0</v>
      </c>
      <c r="I125" s="12">
        <v>0.0</v>
      </c>
      <c r="J125" s="12">
        <v>0.0</v>
      </c>
      <c r="K125" s="12">
        <v>0.0</v>
      </c>
      <c r="L125" s="13">
        <f t="shared" si="1"/>
        <v>3485</v>
      </c>
      <c r="M125" s="12">
        <f t="shared" si="2"/>
        <v>697</v>
      </c>
      <c r="N125" s="12">
        <f t="shared" si="3"/>
        <v>34.85</v>
      </c>
      <c r="O125" s="12">
        <f t="shared" si="4"/>
        <v>52.275</v>
      </c>
      <c r="P125" s="12">
        <f t="shared" si="5"/>
        <v>278.8</v>
      </c>
      <c r="Q125" s="12">
        <f t="shared" si="6"/>
        <v>290.3005</v>
      </c>
      <c r="R125" s="12">
        <f t="shared" si="7"/>
        <v>96.76683333</v>
      </c>
      <c r="S125" s="12">
        <f t="shared" si="8"/>
        <v>30.96538667</v>
      </c>
      <c r="T125" s="12">
        <f t="shared" si="9"/>
        <v>77.41346667</v>
      </c>
      <c r="U125" s="12">
        <f t="shared" si="10"/>
        <v>290.3005</v>
      </c>
      <c r="V125" s="12">
        <f t="shared" si="11"/>
        <v>23.22404</v>
      </c>
      <c r="W125" s="12">
        <f t="shared" si="12"/>
        <v>58.0601</v>
      </c>
      <c r="X125" s="12">
        <f t="shared" si="13"/>
        <v>10.9</v>
      </c>
      <c r="Y125" s="14">
        <f t="shared" si="14"/>
        <v>1940.855827</v>
      </c>
      <c r="Z125" s="15">
        <f t="shared" si="15"/>
        <v>5425.855827</v>
      </c>
      <c r="AA125" s="18"/>
    </row>
    <row r="126" ht="21.0" customHeight="1">
      <c r="A126" s="21" t="s">
        <v>242</v>
      </c>
      <c r="B126" s="9" t="s">
        <v>243</v>
      </c>
      <c r="C126" s="17"/>
      <c r="D126" s="9" t="s">
        <v>245</v>
      </c>
      <c r="E126" s="11">
        <v>45446.0</v>
      </c>
      <c r="F126" s="20">
        <v>3485.0</v>
      </c>
      <c r="G126" s="12">
        <v>0.0</v>
      </c>
      <c r="H126" s="12">
        <v>0.0</v>
      </c>
      <c r="I126" s="12">
        <v>0.0</v>
      </c>
      <c r="J126" s="12">
        <v>0.0</v>
      </c>
      <c r="K126" s="12">
        <v>0.0</v>
      </c>
      <c r="L126" s="13">
        <f t="shared" si="1"/>
        <v>3485</v>
      </c>
      <c r="M126" s="12">
        <f t="shared" si="2"/>
        <v>697</v>
      </c>
      <c r="N126" s="12">
        <f t="shared" si="3"/>
        <v>34.85</v>
      </c>
      <c r="O126" s="12">
        <f t="shared" si="4"/>
        <v>52.275</v>
      </c>
      <c r="P126" s="12">
        <f t="shared" si="5"/>
        <v>278.8</v>
      </c>
      <c r="Q126" s="12">
        <f t="shared" si="6"/>
        <v>290.3005</v>
      </c>
      <c r="R126" s="12">
        <f t="shared" si="7"/>
        <v>96.76683333</v>
      </c>
      <c r="S126" s="12">
        <f t="shared" si="8"/>
        <v>30.96538667</v>
      </c>
      <c r="T126" s="12">
        <f t="shared" si="9"/>
        <v>77.41346667</v>
      </c>
      <c r="U126" s="12">
        <f t="shared" si="10"/>
        <v>290.3005</v>
      </c>
      <c r="V126" s="12">
        <f t="shared" si="11"/>
        <v>23.22404</v>
      </c>
      <c r="W126" s="12">
        <f t="shared" si="12"/>
        <v>58.0601</v>
      </c>
      <c r="X126" s="12">
        <f t="shared" si="13"/>
        <v>10.9</v>
      </c>
      <c r="Y126" s="14">
        <f t="shared" si="14"/>
        <v>1940.855827</v>
      </c>
      <c r="Z126" s="15">
        <f t="shared" si="15"/>
        <v>5425.855827</v>
      </c>
      <c r="AA126" s="18"/>
    </row>
    <row r="127" ht="21.0" customHeight="1">
      <c r="A127" s="21" t="s">
        <v>242</v>
      </c>
      <c r="B127" s="9" t="s">
        <v>246</v>
      </c>
      <c r="C127" s="17"/>
      <c r="D127" s="9" t="s">
        <v>247</v>
      </c>
      <c r="E127" s="11">
        <v>45446.0</v>
      </c>
      <c r="F127" s="20">
        <v>3170.0</v>
      </c>
      <c r="G127" s="12">
        <f>F127*40%</f>
        <v>1268</v>
      </c>
      <c r="H127" s="12">
        <v>0.0</v>
      </c>
      <c r="I127" s="12">
        <f>F127*10%</f>
        <v>317</v>
      </c>
      <c r="J127" s="12">
        <v>0.0</v>
      </c>
      <c r="K127" s="12">
        <v>0.0</v>
      </c>
      <c r="L127" s="13">
        <f t="shared" si="1"/>
        <v>4755</v>
      </c>
      <c r="M127" s="12">
        <f t="shared" si="2"/>
        <v>951</v>
      </c>
      <c r="N127" s="12">
        <f t="shared" si="3"/>
        <v>31.7</v>
      </c>
      <c r="O127" s="12">
        <f t="shared" si="4"/>
        <v>47.55</v>
      </c>
      <c r="P127" s="12">
        <f t="shared" si="5"/>
        <v>380.4</v>
      </c>
      <c r="Q127" s="12">
        <f t="shared" si="6"/>
        <v>264.061</v>
      </c>
      <c r="R127" s="12">
        <f t="shared" si="7"/>
        <v>88.02033333</v>
      </c>
      <c r="S127" s="12">
        <f t="shared" si="8"/>
        <v>28.16650667</v>
      </c>
      <c r="T127" s="12">
        <f t="shared" si="9"/>
        <v>70.41626667</v>
      </c>
      <c r="U127" s="12">
        <f t="shared" si="10"/>
        <v>264.061</v>
      </c>
      <c r="V127" s="12">
        <f t="shared" si="11"/>
        <v>21.12488</v>
      </c>
      <c r="W127" s="12">
        <f t="shared" si="12"/>
        <v>52.8122</v>
      </c>
      <c r="X127" s="12">
        <f t="shared" si="13"/>
        <v>29.8</v>
      </c>
      <c r="Y127" s="14">
        <f t="shared" si="14"/>
        <v>2229.112187</v>
      </c>
      <c r="Z127" s="15">
        <f t="shared" si="15"/>
        <v>6984.112187</v>
      </c>
      <c r="AA127" s="18"/>
    </row>
    <row r="128" ht="21.0" customHeight="1">
      <c r="A128" s="21" t="s">
        <v>242</v>
      </c>
      <c r="B128" s="9" t="s">
        <v>248</v>
      </c>
      <c r="C128" s="17"/>
      <c r="D128" s="9" t="s">
        <v>249</v>
      </c>
      <c r="E128" s="11">
        <v>45661.0</v>
      </c>
      <c r="F128" s="20">
        <v>2550.0</v>
      </c>
      <c r="G128" s="12">
        <v>0.0</v>
      </c>
      <c r="H128" s="12">
        <v>0.0</v>
      </c>
      <c r="I128" s="12">
        <v>0.0</v>
      </c>
      <c r="J128" s="12">
        <v>0.0</v>
      </c>
      <c r="K128" s="12">
        <v>0.0</v>
      </c>
      <c r="L128" s="13">
        <f t="shared" si="1"/>
        <v>2550</v>
      </c>
      <c r="M128" s="12">
        <f t="shared" si="2"/>
        <v>510</v>
      </c>
      <c r="N128" s="12">
        <f t="shared" si="3"/>
        <v>25.5</v>
      </c>
      <c r="O128" s="12">
        <f t="shared" si="4"/>
        <v>38.25</v>
      </c>
      <c r="P128" s="12">
        <f t="shared" si="5"/>
        <v>204</v>
      </c>
      <c r="Q128" s="12">
        <f t="shared" si="6"/>
        <v>212.415</v>
      </c>
      <c r="R128" s="12">
        <f t="shared" si="7"/>
        <v>70.805</v>
      </c>
      <c r="S128" s="12">
        <f t="shared" si="8"/>
        <v>22.6576</v>
      </c>
      <c r="T128" s="12">
        <f t="shared" si="9"/>
        <v>56.644</v>
      </c>
      <c r="U128" s="12">
        <f t="shared" si="10"/>
        <v>212.415</v>
      </c>
      <c r="V128" s="12">
        <f t="shared" si="11"/>
        <v>16.9932</v>
      </c>
      <c r="W128" s="12">
        <f t="shared" si="12"/>
        <v>42.483</v>
      </c>
      <c r="X128" s="12">
        <f t="shared" si="13"/>
        <v>67</v>
      </c>
      <c r="Y128" s="14">
        <f t="shared" si="14"/>
        <v>1479.1628</v>
      </c>
      <c r="Z128" s="15">
        <f t="shared" si="15"/>
        <v>4029.1628</v>
      </c>
      <c r="AA128" s="18"/>
    </row>
    <row r="129" ht="21.0" customHeight="1">
      <c r="A129" s="21" t="s">
        <v>46</v>
      </c>
      <c r="B129" s="9" t="s">
        <v>250</v>
      </c>
      <c r="C129" s="17"/>
      <c r="D129" s="9" t="s">
        <v>251</v>
      </c>
      <c r="E129" s="11">
        <v>45451.0</v>
      </c>
      <c r="F129" s="20">
        <v>3600.0</v>
      </c>
      <c r="G129" s="12">
        <f>F129*40%</f>
        <v>1440</v>
      </c>
      <c r="H129" s="12">
        <v>0.0</v>
      </c>
      <c r="I129" s="12">
        <f>F129*20%</f>
        <v>720</v>
      </c>
      <c r="J129" s="12">
        <v>0.0</v>
      </c>
      <c r="K129" s="12">
        <v>0.0</v>
      </c>
      <c r="L129" s="13">
        <f t="shared" si="1"/>
        <v>5760</v>
      </c>
      <c r="M129" s="12">
        <f t="shared" si="2"/>
        <v>1152</v>
      </c>
      <c r="N129" s="12">
        <f t="shared" si="3"/>
        <v>36</v>
      </c>
      <c r="O129" s="12">
        <f t="shared" si="4"/>
        <v>54</v>
      </c>
      <c r="P129" s="12">
        <f t="shared" si="5"/>
        <v>460.8</v>
      </c>
      <c r="Q129" s="12">
        <f t="shared" si="6"/>
        <v>299.88</v>
      </c>
      <c r="R129" s="12">
        <f t="shared" si="7"/>
        <v>99.96</v>
      </c>
      <c r="S129" s="12">
        <f t="shared" si="8"/>
        <v>31.9872</v>
      </c>
      <c r="T129" s="12">
        <f t="shared" si="9"/>
        <v>79.968</v>
      </c>
      <c r="U129" s="12">
        <f t="shared" si="10"/>
        <v>299.88</v>
      </c>
      <c r="V129" s="12">
        <f t="shared" si="11"/>
        <v>23.9904</v>
      </c>
      <c r="W129" s="12">
        <f t="shared" si="12"/>
        <v>59.976</v>
      </c>
      <c r="X129" s="12">
        <f t="shared" si="13"/>
        <v>4</v>
      </c>
      <c r="Y129" s="14">
        <f t="shared" si="14"/>
        <v>2602.4416</v>
      </c>
      <c r="Z129" s="15">
        <f t="shared" si="15"/>
        <v>8362.4416</v>
      </c>
      <c r="AA129" s="18"/>
    </row>
    <row r="130" ht="21.0" customHeight="1">
      <c r="A130" s="21" t="s">
        <v>252</v>
      </c>
      <c r="B130" s="9" t="s">
        <v>253</v>
      </c>
      <c r="C130" s="17"/>
      <c r="D130" s="9" t="s">
        <v>254</v>
      </c>
      <c r="E130" s="11">
        <v>45615.0</v>
      </c>
      <c r="F130" s="20">
        <v>2650.0</v>
      </c>
      <c r="G130" s="12">
        <v>0.0</v>
      </c>
      <c r="H130" s="12">
        <v>0.0</v>
      </c>
      <c r="I130" s="12">
        <v>0.0</v>
      </c>
      <c r="J130" s="12">
        <v>0.0</v>
      </c>
      <c r="K130" s="12">
        <v>0.0</v>
      </c>
      <c r="L130" s="13">
        <f t="shared" si="1"/>
        <v>2650</v>
      </c>
      <c r="M130" s="12">
        <f t="shared" si="2"/>
        <v>530</v>
      </c>
      <c r="N130" s="12">
        <f t="shared" si="3"/>
        <v>26.5</v>
      </c>
      <c r="O130" s="12">
        <f t="shared" si="4"/>
        <v>39.75</v>
      </c>
      <c r="P130" s="12">
        <f t="shared" si="5"/>
        <v>212</v>
      </c>
      <c r="Q130" s="12">
        <f t="shared" si="6"/>
        <v>220.745</v>
      </c>
      <c r="R130" s="12">
        <f t="shared" si="7"/>
        <v>73.58166667</v>
      </c>
      <c r="S130" s="12">
        <f t="shared" si="8"/>
        <v>23.54613333</v>
      </c>
      <c r="T130" s="12">
        <f t="shared" si="9"/>
        <v>58.86533333</v>
      </c>
      <c r="U130" s="12">
        <f t="shared" si="10"/>
        <v>220.745</v>
      </c>
      <c r="V130" s="12">
        <f t="shared" si="11"/>
        <v>17.6596</v>
      </c>
      <c r="W130" s="12">
        <f t="shared" si="12"/>
        <v>44.149</v>
      </c>
      <c r="X130" s="12">
        <f t="shared" si="13"/>
        <v>61</v>
      </c>
      <c r="Y130" s="14">
        <f t="shared" si="14"/>
        <v>1528.541733</v>
      </c>
      <c r="Z130" s="15">
        <f t="shared" si="15"/>
        <v>4178.541733</v>
      </c>
      <c r="AA130" s="18"/>
    </row>
    <row r="131" ht="21.0" customHeight="1">
      <c r="A131" s="21" t="s">
        <v>252</v>
      </c>
      <c r="B131" s="22" t="s">
        <v>255</v>
      </c>
      <c r="C131" s="17"/>
      <c r="D131" s="9" t="s">
        <v>256</v>
      </c>
      <c r="E131" s="11">
        <v>45455.0</v>
      </c>
      <c r="F131" s="20">
        <v>2250.0</v>
      </c>
      <c r="G131" s="12">
        <v>0.0</v>
      </c>
      <c r="H131" s="12">
        <v>0.0</v>
      </c>
      <c r="I131" s="12">
        <v>0.0</v>
      </c>
      <c r="J131" s="12">
        <v>0.0</v>
      </c>
      <c r="K131" s="12">
        <v>0.0</v>
      </c>
      <c r="L131" s="13">
        <f t="shared" si="1"/>
        <v>2250</v>
      </c>
      <c r="M131" s="12">
        <f t="shared" si="2"/>
        <v>450</v>
      </c>
      <c r="N131" s="12">
        <f t="shared" si="3"/>
        <v>22.5</v>
      </c>
      <c r="O131" s="12">
        <f t="shared" si="4"/>
        <v>33.75</v>
      </c>
      <c r="P131" s="12">
        <f t="shared" si="5"/>
        <v>180</v>
      </c>
      <c r="Q131" s="12">
        <f t="shared" si="6"/>
        <v>187.425</v>
      </c>
      <c r="R131" s="12">
        <f t="shared" si="7"/>
        <v>62.475</v>
      </c>
      <c r="S131" s="12">
        <f t="shared" si="8"/>
        <v>19.992</v>
      </c>
      <c r="T131" s="12">
        <f t="shared" si="9"/>
        <v>49.98</v>
      </c>
      <c r="U131" s="12">
        <f t="shared" si="10"/>
        <v>187.425</v>
      </c>
      <c r="V131" s="12">
        <f t="shared" si="11"/>
        <v>14.994</v>
      </c>
      <c r="W131" s="12">
        <f t="shared" si="12"/>
        <v>37.485</v>
      </c>
      <c r="X131" s="12">
        <f t="shared" si="13"/>
        <v>85</v>
      </c>
      <c r="Y131" s="14">
        <f t="shared" si="14"/>
        <v>1331.026</v>
      </c>
      <c r="Z131" s="15">
        <f t="shared" si="15"/>
        <v>3581.026</v>
      </c>
      <c r="AA131" s="18"/>
    </row>
    <row r="132" ht="21.0" customHeight="1">
      <c r="A132" s="21" t="s">
        <v>252</v>
      </c>
      <c r="B132" s="9" t="s">
        <v>257</v>
      </c>
      <c r="C132" s="17"/>
      <c r="D132" s="9" t="s">
        <v>258</v>
      </c>
      <c r="E132" s="11">
        <v>45474.0</v>
      </c>
      <c r="F132" s="20">
        <v>2250.0</v>
      </c>
      <c r="G132" s="12">
        <v>0.0</v>
      </c>
      <c r="H132" s="12">
        <v>0.0</v>
      </c>
      <c r="I132" s="12">
        <v>0.0</v>
      </c>
      <c r="J132" s="12">
        <v>0.0</v>
      </c>
      <c r="K132" s="12">
        <v>0.0</v>
      </c>
      <c r="L132" s="13">
        <f t="shared" si="1"/>
        <v>2250</v>
      </c>
      <c r="M132" s="12">
        <f t="shared" si="2"/>
        <v>450</v>
      </c>
      <c r="N132" s="12">
        <f t="shared" si="3"/>
        <v>22.5</v>
      </c>
      <c r="O132" s="12">
        <f t="shared" si="4"/>
        <v>33.75</v>
      </c>
      <c r="P132" s="12">
        <f t="shared" si="5"/>
        <v>180</v>
      </c>
      <c r="Q132" s="12">
        <f t="shared" si="6"/>
        <v>187.425</v>
      </c>
      <c r="R132" s="12">
        <f t="shared" si="7"/>
        <v>62.475</v>
      </c>
      <c r="S132" s="12">
        <f t="shared" si="8"/>
        <v>19.992</v>
      </c>
      <c r="T132" s="12">
        <f t="shared" si="9"/>
        <v>49.98</v>
      </c>
      <c r="U132" s="12">
        <f t="shared" si="10"/>
        <v>187.425</v>
      </c>
      <c r="V132" s="12">
        <f t="shared" si="11"/>
        <v>14.994</v>
      </c>
      <c r="W132" s="12">
        <f t="shared" si="12"/>
        <v>37.485</v>
      </c>
      <c r="X132" s="12">
        <f t="shared" si="13"/>
        <v>85</v>
      </c>
      <c r="Y132" s="14">
        <f t="shared" si="14"/>
        <v>1331.026</v>
      </c>
      <c r="Z132" s="15">
        <f t="shared" si="15"/>
        <v>3581.026</v>
      </c>
      <c r="AA132" s="18"/>
    </row>
    <row r="133" ht="21.0" customHeight="1">
      <c r="A133" s="21" t="s">
        <v>259</v>
      </c>
      <c r="B133" s="9" t="s">
        <v>260</v>
      </c>
      <c r="C133" s="17"/>
      <c r="D133" s="9" t="s">
        <v>261</v>
      </c>
      <c r="E133" s="11">
        <v>45558.0</v>
      </c>
      <c r="F133" s="20">
        <v>1449.64</v>
      </c>
      <c r="G133" s="12">
        <v>0.0</v>
      </c>
      <c r="H133" s="12">
        <v>0.0</v>
      </c>
      <c r="I133" s="12">
        <v>0.0</v>
      </c>
      <c r="J133" s="12">
        <v>0.0</v>
      </c>
      <c r="K133" s="12">
        <v>0.0</v>
      </c>
      <c r="L133" s="13">
        <f t="shared" si="1"/>
        <v>1449.64</v>
      </c>
      <c r="M133" s="12">
        <f t="shared" si="2"/>
        <v>289.928</v>
      </c>
      <c r="N133" s="12">
        <f t="shared" si="3"/>
        <v>14.4964</v>
      </c>
      <c r="O133" s="12">
        <f t="shared" si="4"/>
        <v>21.7446</v>
      </c>
      <c r="P133" s="12">
        <f t="shared" si="5"/>
        <v>115.9712</v>
      </c>
      <c r="Q133" s="12">
        <f t="shared" si="6"/>
        <v>120.755012</v>
      </c>
      <c r="R133" s="12">
        <f t="shared" si="7"/>
        <v>40.25167067</v>
      </c>
      <c r="S133" s="12">
        <f t="shared" si="8"/>
        <v>12.88053461</v>
      </c>
      <c r="T133" s="12">
        <f t="shared" si="9"/>
        <v>32.20133653</v>
      </c>
      <c r="U133" s="12">
        <f t="shared" si="10"/>
        <v>120.755012</v>
      </c>
      <c r="V133" s="12">
        <f t="shared" si="11"/>
        <v>9.66040096</v>
      </c>
      <c r="W133" s="12">
        <f t="shared" si="12"/>
        <v>24.1510024</v>
      </c>
      <c r="X133" s="12">
        <f t="shared" si="13"/>
        <v>133.0216</v>
      </c>
      <c r="Y133" s="14">
        <f t="shared" si="14"/>
        <v>935.8167692</v>
      </c>
      <c r="Z133" s="15">
        <f t="shared" si="15"/>
        <v>2385.456769</v>
      </c>
      <c r="AA133" s="18"/>
    </row>
    <row r="134" ht="21.0" customHeight="1">
      <c r="A134" s="21" t="s">
        <v>259</v>
      </c>
      <c r="B134" s="9" t="s">
        <v>260</v>
      </c>
      <c r="C134" s="17"/>
      <c r="D134" s="9" t="s">
        <v>262</v>
      </c>
      <c r="E134" s="11">
        <v>45558.0</v>
      </c>
      <c r="F134" s="20">
        <v>1449.64</v>
      </c>
      <c r="G134" s="12">
        <v>0.0</v>
      </c>
      <c r="H134" s="12">
        <v>0.0</v>
      </c>
      <c r="I134" s="12">
        <v>0.0</v>
      </c>
      <c r="J134" s="12">
        <v>0.0</v>
      </c>
      <c r="K134" s="12">
        <v>0.0</v>
      </c>
      <c r="L134" s="13">
        <f t="shared" si="1"/>
        <v>1449.64</v>
      </c>
      <c r="M134" s="12">
        <f t="shared" si="2"/>
        <v>289.928</v>
      </c>
      <c r="N134" s="12">
        <f t="shared" si="3"/>
        <v>14.4964</v>
      </c>
      <c r="O134" s="12">
        <f t="shared" si="4"/>
        <v>21.7446</v>
      </c>
      <c r="P134" s="12">
        <f t="shared" si="5"/>
        <v>115.9712</v>
      </c>
      <c r="Q134" s="12">
        <f t="shared" si="6"/>
        <v>120.755012</v>
      </c>
      <c r="R134" s="12">
        <f t="shared" si="7"/>
        <v>40.25167067</v>
      </c>
      <c r="S134" s="12">
        <f t="shared" si="8"/>
        <v>12.88053461</v>
      </c>
      <c r="T134" s="12">
        <f t="shared" si="9"/>
        <v>32.20133653</v>
      </c>
      <c r="U134" s="12">
        <f t="shared" si="10"/>
        <v>120.755012</v>
      </c>
      <c r="V134" s="12">
        <f t="shared" si="11"/>
        <v>9.66040096</v>
      </c>
      <c r="W134" s="12">
        <f t="shared" si="12"/>
        <v>24.1510024</v>
      </c>
      <c r="X134" s="12">
        <f t="shared" si="13"/>
        <v>133.0216</v>
      </c>
      <c r="Y134" s="14">
        <f t="shared" si="14"/>
        <v>935.8167692</v>
      </c>
      <c r="Z134" s="15">
        <f t="shared" si="15"/>
        <v>2385.456769</v>
      </c>
      <c r="AA134" s="18"/>
    </row>
    <row r="135" ht="21.0" customHeight="1">
      <c r="A135" s="21" t="s">
        <v>259</v>
      </c>
      <c r="B135" s="9" t="s">
        <v>260</v>
      </c>
      <c r="C135" s="17"/>
      <c r="D135" s="9" t="s">
        <v>263</v>
      </c>
      <c r="E135" s="11">
        <v>45558.0</v>
      </c>
      <c r="F135" s="20">
        <v>966.43</v>
      </c>
      <c r="G135" s="12">
        <v>0.0</v>
      </c>
      <c r="H135" s="12">
        <v>0.0</v>
      </c>
      <c r="I135" s="12">
        <v>0.0</v>
      </c>
      <c r="J135" s="12">
        <v>0.0</v>
      </c>
      <c r="K135" s="12">
        <v>0.0</v>
      </c>
      <c r="L135" s="13">
        <f t="shared" si="1"/>
        <v>966.43</v>
      </c>
      <c r="M135" s="12">
        <f t="shared" si="2"/>
        <v>193.286</v>
      </c>
      <c r="N135" s="12">
        <f t="shared" si="3"/>
        <v>9.6643</v>
      </c>
      <c r="O135" s="12">
        <f t="shared" si="4"/>
        <v>14.49645</v>
      </c>
      <c r="P135" s="12">
        <f t="shared" si="5"/>
        <v>77.3144</v>
      </c>
      <c r="Q135" s="12">
        <f t="shared" si="6"/>
        <v>80.503619</v>
      </c>
      <c r="R135" s="12">
        <f t="shared" si="7"/>
        <v>26.83453967</v>
      </c>
      <c r="S135" s="12">
        <f t="shared" si="8"/>
        <v>8.587052693</v>
      </c>
      <c r="T135" s="12">
        <f t="shared" si="9"/>
        <v>21.46763173</v>
      </c>
      <c r="U135" s="12">
        <f t="shared" si="10"/>
        <v>80.503619</v>
      </c>
      <c r="V135" s="12">
        <f t="shared" si="11"/>
        <v>6.44028952</v>
      </c>
      <c r="W135" s="12">
        <f t="shared" si="12"/>
        <v>16.1007238</v>
      </c>
      <c r="X135" s="12">
        <f t="shared" si="13"/>
        <v>162.0142</v>
      </c>
      <c r="Y135" s="14">
        <f t="shared" si="14"/>
        <v>697.2128254</v>
      </c>
      <c r="Z135" s="15">
        <f t="shared" si="15"/>
        <v>1663.642825</v>
      </c>
      <c r="AA135" s="18"/>
    </row>
    <row r="136" ht="21.0" customHeight="1">
      <c r="A136" s="21" t="s">
        <v>259</v>
      </c>
      <c r="B136" s="9" t="s">
        <v>260</v>
      </c>
      <c r="C136" s="17"/>
      <c r="D136" s="9" t="s">
        <v>264</v>
      </c>
      <c r="E136" s="11">
        <v>45782.0</v>
      </c>
      <c r="F136" s="20">
        <v>966.43</v>
      </c>
      <c r="G136" s="12">
        <v>0.0</v>
      </c>
      <c r="H136" s="12">
        <v>0.0</v>
      </c>
      <c r="I136" s="12">
        <v>0.0</v>
      </c>
      <c r="J136" s="12">
        <v>0.0</v>
      </c>
      <c r="K136" s="12">
        <v>0.0</v>
      </c>
      <c r="L136" s="13">
        <f t="shared" si="1"/>
        <v>966.43</v>
      </c>
      <c r="M136" s="12">
        <f t="shared" si="2"/>
        <v>193.286</v>
      </c>
      <c r="N136" s="12">
        <f t="shared" si="3"/>
        <v>9.6643</v>
      </c>
      <c r="O136" s="12">
        <f t="shared" si="4"/>
        <v>14.49645</v>
      </c>
      <c r="P136" s="12">
        <f t="shared" si="5"/>
        <v>77.3144</v>
      </c>
      <c r="Q136" s="12">
        <f t="shared" si="6"/>
        <v>80.503619</v>
      </c>
      <c r="R136" s="12">
        <f t="shared" si="7"/>
        <v>26.83453967</v>
      </c>
      <c r="S136" s="12">
        <f t="shared" si="8"/>
        <v>8.587052693</v>
      </c>
      <c r="T136" s="12">
        <f t="shared" si="9"/>
        <v>21.46763173</v>
      </c>
      <c r="U136" s="12">
        <f t="shared" si="10"/>
        <v>80.503619</v>
      </c>
      <c r="V136" s="12">
        <f t="shared" si="11"/>
        <v>6.44028952</v>
      </c>
      <c r="W136" s="12">
        <f t="shared" si="12"/>
        <v>16.1007238</v>
      </c>
      <c r="X136" s="12">
        <f t="shared" si="13"/>
        <v>162.0142</v>
      </c>
      <c r="Y136" s="14">
        <f t="shared" si="14"/>
        <v>697.2128254</v>
      </c>
      <c r="Z136" s="15">
        <f t="shared" si="15"/>
        <v>1663.642825</v>
      </c>
      <c r="AA136" s="18"/>
    </row>
    <row r="137" ht="21.0" customHeight="1">
      <c r="A137" s="29"/>
      <c r="B137" s="30"/>
      <c r="C137" s="30"/>
      <c r="D137" s="30"/>
      <c r="E137" s="31"/>
      <c r="F137" s="32">
        <f t="shared" ref="F137:Z137" si="24">SUM(F2:F136)</f>
        <v>344628.258</v>
      </c>
      <c r="G137" s="32">
        <f t="shared" si="24"/>
        <v>17309.6472</v>
      </c>
      <c r="H137" s="32">
        <f t="shared" si="24"/>
        <v>2420.3</v>
      </c>
      <c r="I137" s="32">
        <f t="shared" si="24"/>
        <v>9587.0118</v>
      </c>
      <c r="J137" s="32">
        <f t="shared" si="24"/>
        <v>657</v>
      </c>
      <c r="K137" s="32">
        <f t="shared" si="24"/>
        <v>396.02236</v>
      </c>
      <c r="L137" s="32">
        <f t="shared" si="24"/>
        <v>374998.2394</v>
      </c>
      <c r="M137" s="32">
        <f t="shared" si="24"/>
        <v>74999.64787</v>
      </c>
      <c r="N137" s="32">
        <f t="shared" si="24"/>
        <v>3446.28258</v>
      </c>
      <c r="O137" s="32">
        <f t="shared" si="24"/>
        <v>5169.42387</v>
      </c>
      <c r="P137" s="32">
        <f t="shared" si="24"/>
        <v>29999.85915</v>
      </c>
      <c r="Q137" s="32">
        <f t="shared" si="24"/>
        <v>28707.53389</v>
      </c>
      <c r="R137" s="32">
        <f t="shared" si="24"/>
        <v>9569.177964</v>
      </c>
      <c r="S137" s="32">
        <f t="shared" si="24"/>
        <v>3062.136948</v>
      </c>
      <c r="T137" s="32">
        <f t="shared" si="24"/>
        <v>7655.342371</v>
      </c>
      <c r="U137" s="32">
        <f t="shared" si="24"/>
        <v>28707.53389</v>
      </c>
      <c r="V137" s="32">
        <f t="shared" si="24"/>
        <v>2296.602711</v>
      </c>
      <c r="W137" s="32">
        <f t="shared" si="24"/>
        <v>5741.506778</v>
      </c>
      <c r="X137" s="32">
        <f t="shared" si="24"/>
        <v>9022.30452</v>
      </c>
      <c r="Y137" s="32">
        <f t="shared" si="24"/>
        <v>208377.3525</v>
      </c>
      <c r="Z137" s="32">
        <f t="shared" si="24"/>
        <v>583375.5919</v>
      </c>
      <c r="AA137" s="18"/>
    </row>
    <row r="138" ht="21.0" customHeight="1">
      <c r="A138" s="18"/>
      <c r="B138" s="33"/>
      <c r="C138" s="34"/>
      <c r="D138" s="33"/>
      <c r="E138" s="18"/>
      <c r="F138" s="16"/>
      <c r="G138" s="16"/>
      <c r="H138" s="16"/>
      <c r="I138" s="16"/>
      <c r="J138" s="16"/>
      <c r="K138" s="16"/>
      <c r="L138" s="35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36"/>
      <c r="Z138" s="34"/>
      <c r="AA138" s="18"/>
    </row>
    <row r="139" ht="21.0" customHeight="1">
      <c r="A139" s="18"/>
      <c r="B139" s="33"/>
      <c r="C139" s="34"/>
      <c r="D139" s="33"/>
      <c r="E139" s="18"/>
      <c r="F139" s="16"/>
      <c r="G139" s="16"/>
      <c r="H139" s="16"/>
      <c r="I139" s="16"/>
      <c r="J139" s="16"/>
      <c r="K139" s="16"/>
      <c r="L139" s="35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36"/>
      <c r="Z139" s="34"/>
      <c r="AA139" s="18"/>
    </row>
    <row r="140" ht="21.0" customHeight="1">
      <c r="A140" s="18"/>
      <c r="B140" s="33"/>
      <c r="C140" s="34"/>
      <c r="D140" s="33"/>
      <c r="E140" s="18"/>
      <c r="F140" s="16"/>
      <c r="G140" s="16"/>
      <c r="H140" s="16"/>
      <c r="I140" s="16"/>
      <c r="J140" s="16"/>
      <c r="K140" s="16"/>
      <c r="L140" s="3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36"/>
      <c r="Z140" s="34"/>
      <c r="AA140" s="18"/>
    </row>
    <row r="141" ht="21.0" customHeight="1">
      <c r="A141" s="18"/>
      <c r="B141" s="33"/>
      <c r="C141" s="34"/>
      <c r="D141" s="33"/>
      <c r="E141" s="18"/>
      <c r="F141" s="16"/>
      <c r="G141" s="16"/>
      <c r="H141" s="16"/>
      <c r="I141" s="16"/>
      <c r="J141" s="16"/>
      <c r="K141" s="16"/>
      <c r="L141" s="35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36"/>
      <c r="Z141" s="34"/>
      <c r="AA141" s="18"/>
    </row>
    <row r="142" ht="21.0" customHeight="1">
      <c r="A142" s="18"/>
      <c r="B142" s="33"/>
      <c r="C142" s="34"/>
      <c r="D142" s="33"/>
      <c r="E142" s="18"/>
      <c r="F142" s="16"/>
      <c r="G142" s="16"/>
      <c r="H142" s="16"/>
      <c r="I142" s="16"/>
      <c r="J142" s="16"/>
      <c r="K142" s="16"/>
      <c r="L142" s="35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36"/>
      <c r="Z142" s="34"/>
      <c r="AA142" s="18"/>
    </row>
    <row r="143" ht="21.0" customHeight="1">
      <c r="A143" s="18"/>
      <c r="B143" s="33"/>
      <c r="C143" s="34"/>
      <c r="D143" s="33"/>
      <c r="E143" s="18"/>
      <c r="F143" s="16"/>
      <c r="G143" s="16"/>
      <c r="H143" s="16"/>
      <c r="I143" s="16"/>
      <c r="J143" s="16"/>
      <c r="K143" s="16"/>
      <c r="L143" s="35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36"/>
      <c r="Z143" s="34"/>
      <c r="AA143" s="18"/>
    </row>
    <row r="144" ht="21.0" customHeight="1">
      <c r="A144" s="18"/>
      <c r="B144" s="33"/>
      <c r="C144" s="34"/>
      <c r="D144" s="33"/>
      <c r="E144" s="18"/>
      <c r="F144" s="16"/>
      <c r="G144" s="16"/>
      <c r="H144" s="16"/>
      <c r="I144" s="16"/>
      <c r="J144" s="16"/>
      <c r="K144" s="16"/>
      <c r="L144" s="35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36"/>
      <c r="Z144" s="34"/>
      <c r="AA144" s="18"/>
    </row>
    <row r="145" ht="21.0" customHeight="1">
      <c r="A145" s="18"/>
      <c r="B145" s="33"/>
      <c r="C145" s="34"/>
      <c r="D145" s="33"/>
      <c r="E145" s="18"/>
      <c r="F145" s="16"/>
      <c r="G145" s="16"/>
      <c r="H145" s="16"/>
      <c r="I145" s="16"/>
      <c r="J145" s="16"/>
      <c r="K145" s="16"/>
      <c r="L145" s="35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36"/>
      <c r="Z145" s="34"/>
      <c r="AA145" s="18"/>
    </row>
    <row r="146" ht="21.0" customHeight="1">
      <c r="A146" s="18"/>
      <c r="B146" s="33"/>
      <c r="C146" s="34"/>
      <c r="D146" s="33"/>
      <c r="E146" s="18"/>
      <c r="F146" s="16"/>
      <c r="G146" s="16"/>
      <c r="H146" s="16"/>
      <c r="I146" s="16"/>
      <c r="J146" s="16"/>
      <c r="K146" s="16"/>
      <c r="L146" s="35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36"/>
      <c r="Z146" s="34"/>
      <c r="AA146" s="18"/>
    </row>
    <row r="147" ht="21.0" customHeight="1">
      <c r="A147" s="18"/>
      <c r="B147" s="33"/>
      <c r="C147" s="34"/>
      <c r="D147" s="33"/>
      <c r="E147" s="18"/>
      <c r="F147" s="16"/>
      <c r="G147" s="16"/>
      <c r="H147" s="16"/>
      <c r="I147" s="16"/>
      <c r="J147" s="16"/>
      <c r="K147" s="16"/>
      <c r="L147" s="35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36"/>
      <c r="Z147" s="34"/>
      <c r="AA147" s="18"/>
    </row>
    <row r="148" ht="21.0" customHeight="1">
      <c r="A148" s="18"/>
      <c r="B148" s="33"/>
      <c r="C148" s="34"/>
      <c r="D148" s="33"/>
      <c r="E148" s="18"/>
      <c r="F148" s="16"/>
      <c r="G148" s="16"/>
      <c r="H148" s="16"/>
      <c r="I148" s="16"/>
      <c r="J148" s="16"/>
      <c r="K148" s="16"/>
      <c r="L148" s="35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36"/>
      <c r="Z148" s="34"/>
      <c r="AA148" s="18"/>
    </row>
    <row r="149" ht="21.0" customHeight="1">
      <c r="A149" s="18"/>
      <c r="B149" s="33"/>
      <c r="C149" s="34"/>
      <c r="D149" s="33"/>
      <c r="E149" s="18"/>
      <c r="F149" s="16"/>
      <c r="G149" s="16"/>
      <c r="H149" s="16"/>
      <c r="I149" s="16"/>
      <c r="J149" s="16"/>
      <c r="K149" s="16"/>
      <c r="L149" s="35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36"/>
      <c r="Z149" s="34"/>
      <c r="AA149" s="18"/>
    </row>
    <row r="150" ht="21.0" customHeight="1">
      <c r="A150" s="18"/>
      <c r="B150" s="33"/>
      <c r="C150" s="34"/>
      <c r="D150" s="33"/>
      <c r="E150" s="18"/>
      <c r="F150" s="16"/>
      <c r="G150" s="16"/>
      <c r="H150" s="16"/>
      <c r="I150" s="16"/>
      <c r="J150" s="16"/>
      <c r="K150" s="16"/>
      <c r="L150" s="3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36"/>
      <c r="Z150" s="34"/>
      <c r="AA150" s="18"/>
    </row>
    <row r="151" ht="21.0" customHeight="1">
      <c r="A151" s="18"/>
      <c r="B151" s="33"/>
      <c r="C151" s="34"/>
      <c r="D151" s="33"/>
      <c r="E151" s="18"/>
      <c r="F151" s="16"/>
      <c r="G151" s="16"/>
      <c r="H151" s="16"/>
      <c r="I151" s="16"/>
      <c r="J151" s="16"/>
      <c r="K151" s="16"/>
      <c r="L151" s="35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36"/>
      <c r="Z151" s="34"/>
      <c r="AA151" s="18"/>
    </row>
    <row r="152" ht="21.0" customHeight="1">
      <c r="A152" s="18"/>
      <c r="B152" s="33"/>
      <c r="C152" s="34"/>
      <c r="D152" s="33"/>
      <c r="E152" s="18"/>
      <c r="F152" s="16"/>
      <c r="G152" s="16"/>
      <c r="H152" s="16"/>
      <c r="I152" s="16"/>
      <c r="J152" s="16"/>
      <c r="K152" s="16"/>
      <c r="L152" s="35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36"/>
      <c r="Z152" s="34"/>
      <c r="AA152" s="18"/>
    </row>
    <row r="153" ht="21.0" customHeight="1">
      <c r="A153" s="18"/>
      <c r="B153" s="33"/>
      <c r="C153" s="34"/>
      <c r="D153" s="33"/>
      <c r="E153" s="18"/>
      <c r="F153" s="16"/>
      <c r="G153" s="16"/>
      <c r="H153" s="16"/>
      <c r="I153" s="16"/>
      <c r="J153" s="16"/>
      <c r="K153" s="16"/>
      <c r="L153" s="35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36"/>
      <c r="Z153" s="34"/>
      <c r="AA153" s="18"/>
    </row>
    <row r="154" ht="21.0" customHeight="1">
      <c r="A154" s="18"/>
      <c r="B154" s="33"/>
      <c r="C154" s="34"/>
      <c r="D154" s="33"/>
      <c r="E154" s="18"/>
      <c r="F154" s="16"/>
      <c r="G154" s="16"/>
      <c r="H154" s="16"/>
      <c r="I154" s="16"/>
      <c r="J154" s="16"/>
      <c r="K154" s="16"/>
      <c r="L154" s="35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36"/>
      <c r="Z154" s="34"/>
      <c r="AA154" s="18"/>
    </row>
    <row r="155" ht="21.0" customHeight="1">
      <c r="A155" s="18"/>
      <c r="B155" s="33"/>
      <c r="C155" s="34"/>
      <c r="D155" s="33"/>
      <c r="E155" s="18"/>
      <c r="F155" s="16"/>
      <c r="G155" s="16"/>
      <c r="H155" s="16"/>
      <c r="I155" s="16"/>
      <c r="J155" s="16"/>
      <c r="K155" s="16"/>
      <c r="L155" s="35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36"/>
      <c r="Z155" s="34"/>
      <c r="AA155" s="18"/>
    </row>
    <row r="156" ht="21.0" customHeight="1">
      <c r="A156" s="18"/>
      <c r="B156" s="33"/>
      <c r="C156" s="34"/>
      <c r="D156" s="33"/>
      <c r="E156" s="18"/>
      <c r="F156" s="16"/>
      <c r="G156" s="16"/>
      <c r="H156" s="16"/>
      <c r="I156" s="16"/>
      <c r="J156" s="16"/>
      <c r="K156" s="16"/>
      <c r="L156" s="3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36"/>
      <c r="Z156" s="34"/>
      <c r="AA156" s="18"/>
    </row>
    <row r="157" ht="21.0" customHeight="1">
      <c r="A157" s="18"/>
      <c r="B157" s="33"/>
      <c r="C157" s="34"/>
      <c r="D157" s="33"/>
      <c r="E157" s="18"/>
      <c r="F157" s="16"/>
      <c r="G157" s="16"/>
      <c r="H157" s="16"/>
      <c r="I157" s="16"/>
      <c r="J157" s="16"/>
      <c r="K157" s="16"/>
      <c r="L157" s="3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36"/>
      <c r="Z157" s="34"/>
      <c r="AA157" s="18"/>
    </row>
    <row r="158" ht="21.0" customHeight="1">
      <c r="A158" s="18"/>
      <c r="B158" s="33"/>
      <c r="C158" s="34"/>
      <c r="D158" s="33"/>
      <c r="E158" s="18"/>
      <c r="F158" s="16"/>
      <c r="G158" s="16"/>
      <c r="H158" s="16"/>
      <c r="I158" s="16"/>
      <c r="J158" s="16"/>
      <c r="K158" s="16"/>
      <c r="L158" s="3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36"/>
      <c r="Z158" s="34"/>
      <c r="AA158" s="18"/>
    </row>
    <row r="159" ht="21.0" customHeight="1">
      <c r="A159" s="18"/>
      <c r="B159" s="33"/>
      <c r="C159" s="34"/>
      <c r="D159" s="33"/>
      <c r="E159" s="18"/>
      <c r="F159" s="16"/>
      <c r="G159" s="16"/>
      <c r="H159" s="16"/>
      <c r="I159" s="16"/>
      <c r="J159" s="16"/>
      <c r="K159" s="16"/>
      <c r="L159" s="35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36"/>
      <c r="Z159" s="34"/>
      <c r="AA159" s="18"/>
    </row>
    <row r="160" ht="21.0" customHeight="1">
      <c r="A160" s="18"/>
      <c r="B160" s="33"/>
      <c r="C160" s="34"/>
      <c r="D160" s="33"/>
      <c r="E160" s="18"/>
      <c r="F160" s="16"/>
      <c r="G160" s="16"/>
      <c r="H160" s="16"/>
      <c r="I160" s="16"/>
      <c r="J160" s="16"/>
      <c r="K160" s="16"/>
      <c r="L160" s="35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36"/>
      <c r="Z160" s="34"/>
      <c r="AA160" s="18"/>
    </row>
    <row r="161" ht="21.0" customHeight="1">
      <c r="A161" s="18"/>
      <c r="B161" s="33"/>
      <c r="C161" s="34"/>
      <c r="D161" s="33"/>
      <c r="E161" s="18"/>
      <c r="F161" s="16"/>
      <c r="G161" s="16"/>
      <c r="H161" s="16"/>
      <c r="I161" s="16"/>
      <c r="J161" s="16"/>
      <c r="K161" s="16"/>
      <c r="L161" s="35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36"/>
      <c r="Z161" s="34"/>
      <c r="AA161" s="18"/>
    </row>
    <row r="162" ht="21.0" customHeight="1">
      <c r="A162" s="18"/>
      <c r="B162" s="33"/>
      <c r="C162" s="34"/>
      <c r="D162" s="33"/>
      <c r="E162" s="18"/>
      <c r="F162" s="16"/>
      <c r="G162" s="16"/>
      <c r="H162" s="16"/>
      <c r="I162" s="16"/>
      <c r="J162" s="16"/>
      <c r="K162" s="16"/>
      <c r="L162" s="35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36"/>
      <c r="Z162" s="34"/>
      <c r="AA162" s="18"/>
    </row>
    <row r="163" ht="21.0" customHeight="1">
      <c r="A163" s="18"/>
      <c r="B163" s="33"/>
      <c r="C163" s="34"/>
      <c r="D163" s="33"/>
      <c r="E163" s="18"/>
      <c r="F163" s="16"/>
      <c r="G163" s="16"/>
      <c r="H163" s="16"/>
      <c r="I163" s="16"/>
      <c r="J163" s="16"/>
      <c r="K163" s="16"/>
      <c r="L163" s="35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36"/>
      <c r="Z163" s="34"/>
      <c r="AA163" s="18"/>
    </row>
    <row r="164" ht="21.0" customHeight="1">
      <c r="A164" s="18"/>
      <c r="B164" s="33"/>
      <c r="C164" s="34"/>
      <c r="D164" s="33"/>
      <c r="E164" s="18"/>
      <c r="F164" s="16"/>
      <c r="G164" s="16"/>
      <c r="H164" s="16"/>
      <c r="I164" s="16"/>
      <c r="J164" s="16"/>
      <c r="K164" s="16"/>
      <c r="L164" s="35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36"/>
      <c r="Z164" s="34"/>
      <c r="AA164" s="18"/>
    </row>
    <row r="165" ht="21.0" customHeight="1">
      <c r="A165" s="18"/>
      <c r="B165" s="33"/>
      <c r="C165" s="34"/>
      <c r="D165" s="33"/>
      <c r="E165" s="18"/>
      <c r="F165" s="16"/>
      <c r="G165" s="16"/>
      <c r="H165" s="16"/>
      <c r="I165" s="16"/>
      <c r="J165" s="16"/>
      <c r="K165" s="16"/>
      <c r="L165" s="3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36"/>
      <c r="Z165" s="34"/>
      <c r="AA165" s="18"/>
    </row>
    <row r="166" ht="21.0" customHeight="1">
      <c r="A166" s="18"/>
      <c r="B166" s="33"/>
      <c r="C166" s="34"/>
      <c r="D166" s="33"/>
      <c r="E166" s="18"/>
      <c r="F166" s="16"/>
      <c r="G166" s="16"/>
      <c r="H166" s="16"/>
      <c r="I166" s="16"/>
      <c r="J166" s="16"/>
      <c r="K166" s="16"/>
      <c r="L166" s="3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36"/>
      <c r="Z166" s="34"/>
      <c r="AA166" s="18"/>
    </row>
    <row r="167" ht="21.0" customHeight="1">
      <c r="A167" s="18"/>
      <c r="B167" s="33"/>
      <c r="C167" s="34"/>
      <c r="D167" s="33"/>
      <c r="E167" s="18"/>
      <c r="F167" s="16"/>
      <c r="G167" s="16"/>
      <c r="H167" s="16"/>
      <c r="I167" s="16"/>
      <c r="J167" s="16"/>
      <c r="K167" s="16"/>
      <c r="L167" s="35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36"/>
      <c r="Z167" s="34"/>
      <c r="AA167" s="18"/>
    </row>
    <row r="168" ht="21.0" customHeight="1">
      <c r="A168" s="18"/>
      <c r="B168" s="33"/>
      <c r="C168" s="34"/>
      <c r="D168" s="33"/>
      <c r="E168" s="18"/>
      <c r="F168" s="16"/>
      <c r="G168" s="16"/>
      <c r="H168" s="16"/>
      <c r="I168" s="16"/>
      <c r="J168" s="16"/>
      <c r="K168" s="16"/>
      <c r="L168" s="35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36"/>
      <c r="Z168" s="34"/>
      <c r="AA168" s="18"/>
    </row>
    <row r="169" ht="21.0" customHeight="1">
      <c r="A169" s="18"/>
      <c r="B169" s="33"/>
      <c r="C169" s="34"/>
      <c r="D169" s="33"/>
      <c r="E169" s="18"/>
      <c r="F169" s="16"/>
      <c r="G169" s="16"/>
      <c r="H169" s="16"/>
      <c r="I169" s="16"/>
      <c r="J169" s="16"/>
      <c r="K169" s="16"/>
      <c r="L169" s="35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36"/>
      <c r="Z169" s="34"/>
      <c r="AA169" s="18"/>
    </row>
    <row r="170" ht="21.0" customHeight="1">
      <c r="A170" s="18"/>
      <c r="B170" s="33"/>
      <c r="C170" s="34"/>
      <c r="D170" s="33"/>
      <c r="E170" s="18"/>
      <c r="F170" s="16"/>
      <c r="G170" s="16"/>
      <c r="H170" s="16"/>
      <c r="I170" s="16"/>
      <c r="J170" s="16"/>
      <c r="K170" s="16"/>
      <c r="L170" s="37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38"/>
      <c r="Z170" s="34"/>
      <c r="AA170" s="18"/>
    </row>
    <row r="171" ht="21.0" customHeight="1">
      <c r="A171" s="18"/>
      <c r="B171" s="33"/>
      <c r="C171" s="34"/>
      <c r="D171" s="33"/>
      <c r="E171" s="18"/>
      <c r="F171" s="16"/>
      <c r="G171" s="16"/>
      <c r="H171" s="16"/>
      <c r="I171" s="16"/>
      <c r="J171" s="16"/>
      <c r="K171" s="16"/>
      <c r="L171" s="37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38"/>
      <c r="Z171" s="34"/>
      <c r="AA171" s="18"/>
    </row>
    <row r="172" ht="21.0" customHeight="1">
      <c r="A172" s="18"/>
      <c r="B172" s="33"/>
      <c r="C172" s="34"/>
      <c r="D172" s="33"/>
      <c r="E172" s="18"/>
      <c r="F172" s="16"/>
      <c r="G172" s="16"/>
      <c r="H172" s="16"/>
      <c r="I172" s="16"/>
      <c r="J172" s="16"/>
      <c r="K172" s="16"/>
      <c r="L172" s="37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38"/>
      <c r="Z172" s="34"/>
      <c r="AA172" s="18"/>
    </row>
    <row r="173" ht="21.0" customHeight="1">
      <c r="A173" s="18"/>
      <c r="B173" s="33"/>
      <c r="C173" s="34"/>
      <c r="D173" s="33"/>
      <c r="E173" s="18"/>
      <c r="F173" s="16"/>
      <c r="G173" s="16"/>
      <c r="H173" s="16"/>
      <c r="I173" s="16"/>
      <c r="J173" s="16"/>
      <c r="K173" s="16"/>
      <c r="L173" s="37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38"/>
      <c r="Z173" s="34"/>
      <c r="AA173" s="18"/>
    </row>
    <row r="174" ht="21.0" customHeight="1">
      <c r="A174" s="18"/>
      <c r="B174" s="33"/>
      <c r="C174" s="34"/>
      <c r="D174" s="33"/>
      <c r="E174" s="18"/>
      <c r="F174" s="16"/>
      <c r="G174" s="16"/>
      <c r="H174" s="16"/>
      <c r="I174" s="16"/>
      <c r="J174" s="16"/>
      <c r="K174" s="16"/>
      <c r="L174" s="37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38"/>
      <c r="Z174" s="34"/>
      <c r="AA174" s="18"/>
    </row>
    <row r="175" ht="21.0" customHeight="1">
      <c r="A175" s="18"/>
      <c r="B175" s="33"/>
      <c r="C175" s="34"/>
      <c r="D175" s="33"/>
      <c r="E175" s="18"/>
      <c r="F175" s="16"/>
      <c r="G175" s="16"/>
      <c r="H175" s="16"/>
      <c r="I175" s="16"/>
      <c r="J175" s="16"/>
      <c r="K175" s="16"/>
      <c r="L175" s="37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38"/>
      <c r="Z175" s="34"/>
      <c r="AA175" s="18"/>
    </row>
    <row r="176" ht="21.0" customHeight="1">
      <c r="A176" s="18"/>
      <c r="B176" s="33"/>
      <c r="C176" s="34"/>
      <c r="D176" s="33"/>
      <c r="E176" s="18"/>
      <c r="F176" s="16"/>
      <c r="G176" s="16"/>
      <c r="H176" s="16"/>
      <c r="I176" s="16"/>
      <c r="J176" s="16"/>
      <c r="K176" s="16"/>
      <c r="L176" s="37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38"/>
      <c r="Z176" s="34"/>
      <c r="AA176" s="18"/>
    </row>
    <row r="177" ht="21.0" customHeight="1">
      <c r="A177" s="18"/>
      <c r="B177" s="33"/>
      <c r="C177" s="34"/>
      <c r="D177" s="33"/>
      <c r="E177" s="18"/>
      <c r="F177" s="16"/>
      <c r="G177" s="16"/>
      <c r="H177" s="16"/>
      <c r="I177" s="16"/>
      <c r="J177" s="16"/>
      <c r="K177" s="16"/>
      <c r="L177" s="37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38"/>
      <c r="Z177" s="34"/>
      <c r="AA177" s="18"/>
    </row>
    <row r="178" ht="21.0" customHeight="1">
      <c r="A178" s="18"/>
      <c r="B178" s="33"/>
      <c r="C178" s="34"/>
      <c r="D178" s="33"/>
      <c r="E178" s="18"/>
      <c r="F178" s="16"/>
      <c r="G178" s="16"/>
      <c r="H178" s="16"/>
      <c r="I178" s="16"/>
      <c r="J178" s="16"/>
      <c r="K178" s="16"/>
      <c r="L178" s="37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38"/>
      <c r="Z178" s="34"/>
      <c r="AA178" s="18"/>
    </row>
    <row r="179" ht="21.0" customHeight="1">
      <c r="A179" s="18"/>
      <c r="B179" s="33"/>
      <c r="C179" s="34"/>
      <c r="D179" s="33"/>
      <c r="E179" s="18"/>
      <c r="F179" s="16"/>
      <c r="G179" s="16"/>
      <c r="H179" s="16"/>
      <c r="I179" s="16"/>
      <c r="J179" s="16"/>
      <c r="K179" s="16"/>
      <c r="L179" s="37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38"/>
      <c r="Z179" s="34"/>
      <c r="AA179" s="18"/>
    </row>
    <row r="180" ht="21.0" customHeight="1">
      <c r="A180" s="18"/>
      <c r="B180" s="33"/>
      <c r="C180" s="34"/>
      <c r="D180" s="33"/>
      <c r="E180" s="18"/>
      <c r="F180" s="16"/>
      <c r="G180" s="16"/>
      <c r="H180" s="16"/>
      <c r="I180" s="16"/>
      <c r="J180" s="16"/>
      <c r="K180" s="16"/>
      <c r="L180" s="37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38"/>
      <c r="Z180" s="34"/>
      <c r="AA180" s="18"/>
    </row>
    <row r="181" ht="21.0" customHeight="1">
      <c r="A181" s="18"/>
      <c r="B181" s="33"/>
      <c r="C181" s="34"/>
      <c r="D181" s="33"/>
      <c r="E181" s="18"/>
      <c r="F181" s="16"/>
      <c r="G181" s="16"/>
      <c r="H181" s="16"/>
      <c r="I181" s="16"/>
      <c r="J181" s="16"/>
      <c r="K181" s="16"/>
      <c r="L181" s="37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38"/>
      <c r="Z181" s="34"/>
      <c r="AA181" s="18"/>
    </row>
    <row r="182" ht="21.0" customHeight="1">
      <c r="A182" s="18"/>
      <c r="B182" s="33"/>
      <c r="C182" s="34"/>
      <c r="D182" s="33"/>
      <c r="E182" s="18"/>
      <c r="F182" s="16"/>
      <c r="G182" s="16"/>
      <c r="H182" s="16"/>
      <c r="I182" s="16"/>
      <c r="J182" s="16"/>
      <c r="K182" s="16"/>
      <c r="L182" s="37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38"/>
      <c r="Z182" s="34"/>
      <c r="AA182" s="18"/>
    </row>
    <row r="183" ht="21.0" customHeight="1">
      <c r="A183" s="18"/>
      <c r="B183" s="33"/>
      <c r="C183" s="34"/>
      <c r="D183" s="33"/>
      <c r="E183" s="18"/>
      <c r="F183" s="16"/>
      <c r="G183" s="16"/>
      <c r="H183" s="16"/>
      <c r="I183" s="16"/>
      <c r="J183" s="16"/>
      <c r="K183" s="16"/>
      <c r="L183" s="37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38"/>
      <c r="Z183" s="34"/>
      <c r="AA183" s="18"/>
    </row>
    <row r="184" ht="21.0" customHeight="1">
      <c r="A184" s="18"/>
      <c r="B184" s="33"/>
      <c r="C184" s="34"/>
      <c r="D184" s="33"/>
      <c r="E184" s="18"/>
      <c r="F184" s="16"/>
      <c r="G184" s="16"/>
      <c r="H184" s="16"/>
      <c r="I184" s="16"/>
      <c r="J184" s="16"/>
      <c r="K184" s="16"/>
      <c r="L184" s="37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38"/>
      <c r="Z184" s="34"/>
      <c r="AA184" s="18"/>
    </row>
    <row r="185" ht="21.0" customHeight="1">
      <c r="A185" s="18"/>
      <c r="B185" s="33"/>
      <c r="C185" s="34"/>
      <c r="D185" s="33"/>
      <c r="E185" s="18"/>
      <c r="F185" s="16"/>
      <c r="G185" s="16"/>
      <c r="H185" s="16"/>
      <c r="I185" s="16"/>
      <c r="J185" s="16"/>
      <c r="K185" s="16"/>
      <c r="L185" s="37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38"/>
      <c r="Z185" s="34"/>
      <c r="AA185" s="18"/>
    </row>
    <row r="186" ht="21.0" customHeight="1">
      <c r="A186" s="18"/>
      <c r="B186" s="33"/>
      <c r="C186" s="34"/>
      <c r="D186" s="33"/>
      <c r="E186" s="18"/>
      <c r="F186" s="16"/>
      <c r="G186" s="16"/>
      <c r="H186" s="16"/>
      <c r="I186" s="16"/>
      <c r="J186" s="16"/>
      <c r="K186" s="16"/>
      <c r="L186" s="37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38"/>
      <c r="Z186" s="34"/>
      <c r="AA186" s="18"/>
    </row>
    <row r="187" ht="21.0" customHeight="1">
      <c r="A187" s="18"/>
      <c r="B187" s="33"/>
      <c r="C187" s="34"/>
      <c r="D187" s="33"/>
      <c r="E187" s="18"/>
      <c r="F187" s="16"/>
      <c r="G187" s="16"/>
      <c r="H187" s="16"/>
      <c r="I187" s="16"/>
      <c r="J187" s="16"/>
      <c r="K187" s="16"/>
      <c r="L187" s="37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38"/>
      <c r="Z187" s="34"/>
      <c r="AA187" s="18"/>
    </row>
    <row r="188" ht="21.0" customHeight="1">
      <c r="A188" s="18"/>
      <c r="B188" s="33"/>
      <c r="C188" s="34"/>
      <c r="D188" s="33"/>
      <c r="E188" s="18"/>
      <c r="F188" s="16"/>
      <c r="G188" s="16"/>
      <c r="H188" s="16"/>
      <c r="I188" s="16"/>
      <c r="J188" s="16"/>
      <c r="K188" s="16"/>
      <c r="L188" s="37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38"/>
      <c r="Z188" s="34"/>
      <c r="AA188" s="18"/>
    </row>
    <row r="189" ht="21.0" customHeight="1">
      <c r="A189" s="18"/>
      <c r="B189" s="33"/>
      <c r="C189" s="34"/>
      <c r="D189" s="33"/>
      <c r="E189" s="18"/>
      <c r="F189" s="16"/>
      <c r="G189" s="16"/>
      <c r="H189" s="16"/>
      <c r="I189" s="16"/>
      <c r="J189" s="16"/>
      <c r="K189" s="16"/>
      <c r="L189" s="37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38"/>
      <c r="Z189" s="34"/>
      <c r="AA189" s="18"/>
    </row>
    <row r="190" ht="21.0" customHeight="1">
      <c r="A190" s="18"/>
      <c r="B190" s="33"/>
      <c r="C190" s="34"/>
      <c r="D190" s="33"/>
      <c r="E190" s="18"/>
      <c r="F190" s="16"/>
      <c r="G190" s="16"/>
      <c r="H190" s="16"/>
      <c r="I190" s="16"/>
      <c r="J190" s="16"/>
      <c r="K190" s="16"/>
      <c r="L190" s="37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38"/>
      <c r="Z190" s="34"/>
      <c r="AA190" s="18"/>
    </row>
    <row r="191" ht="21.0" customHeight="1">
      <c r="A191" s="18"/>
      <c r="B191" s="33"/>
      <c r="C191" s="34"/>
      <c r="D191" s="33"/>
      <c r="E191" s="18"/>
      <c r="F191" s="16"/>
      <c r="G191" s="16"/>
      <c r="H191" s="16"/>
      <c r="I191" s="16"/>
      <c r="J191" s="16"/>
      <c r="K191" s="16"/>
      <c r="L191" s="37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38"/>
      <c r="Z191" s="34"/>
      <c r="AA191" s="18"/>
    </row>
    <row r="192" ht="21.0" customHeight="1">
      <c r="A192" s="18"/>
      <c r="B192" s="33"/>
      <c r="C192" s="34"/>
      <c r="D192" s="33"/>
      <c r="E192" s="18"/>
      <c r="F192" s="16"/>
      <c r="G192" s="16"/>
      <c r="H192" s="16"/>
      <c r="I192" s="16"/>
      <c r="J192" s="16"/>
      <c r="K192" s="16"/>
      <c r="L192" s="37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38"/>
      <c r="Z192" s="34"/>
      <c r="AA192" s="18"/>
    </row>
    <row r="193" ht="21.0" customHeight="1">
      <c r="A193" s="18"/>
      <c r="B193" s="33"/>
      <c r="C193" s="34"/>
      <c r="D193" s="33"/>
      <c r="E193" s="18"/>
      <c r="F193" s="16"/>
      <c r="G193" s="16"/>
      <c r="H193" s="16"/>
      <c r="I193" s="16"/>
      <c r="J193" s="16"/>
      <c r="K193" s="16"/>
      <c r="L193" s="37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38"/>
      <c r="Z193" s="34"/>
      <c r="AA193" s="18"/>
    </row>
    <row r="194" ht="21.0" customHeight="1">
      <c r="A194" s="18"/>
      <c r="B194" s="33"/>
      <c r="C194" s="34"/>
      <c r="D194" s="33"/>
      <c r="E194" s="18"/>
      <c r="F194" s="16"/>
      <c r="G194" s="16"/>
      <c r="H194" s="16"/>
      <c r="I194" s="16"/>
      <c r="J194" s="16"/>
      <c r="K194" s="16"/>
      <c r="L194" s="37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38"/>
      <c r="Z194" s="34"/>
      <c r="AA194" s="18"/>
    </row>
    <row r="195" ht="21.0" customHeight="1">
      <c r="A195" s="18"/>
      <c r="B195" s="33"/>
      <c r="C195" s="34"/>
      <c r="D195" s="33"/>
      <c r="E195" s="18"/>
      <c r="F195" s="16"/>
      <c r="G195" s="16"/>
      <c r="H195" s="16"/>
      <c r="I195" s="16"/>
      <c r="J195" s="16"/>
      <c r="K195" s="16"/>
      <c r="L195" s="37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38"/>
      <c r="Z195" s="34"/>
      <c r="AA195" s="18"/>
    </row>
    <row r="196" ht="21.0" customHeight="1">
      <c r="A196" s="18"/>
      <c r="B196" s="33"/>
      <c r="C196" s="34"/>
      <c r="D196" s="33"/>
      <c r="E196" s="18"/>
      <c r="F196" s="16"/>
      <c r="G196" s="16"/>
      <c r="H196" s="16"/>
      <c r="I196" s="16"/>
      <c r="J196" s="16"/>
      <c r="K196" s="16"/>
      <c r="L196" s="37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38"/>
      <c r="Z196" s="34"/>
      <c r="AA196" s="18"/>
    </row>
    <row r="197" ht="21.0" customHeight="1">
      <c r="A197" s="18"/>
      <c r="B197" s="33"/>
      <c r="C197" s="34"/>
      <c r="D197" s="33"/>
      <c r="E197" s="18"/>
      <c r="F197" s="16"/>
      <c r="G197" s="16"/>
      <c r="H197" s="16"/>
      <c r="I197" s="16"/>
      <c r="J197" s="16"/>
      <c r="K197" s="16"/>
      <c r="L197" s="37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38"/>
      <c r="Z197" s="34"/>
      <c r="AA197" s="18"/>
    </row>
    <row r="198" ht="21.0" customHeight="1">
      <c r="A198" s="18"/>
      <c r="B198" s="33"/>
      <c r="C198" s="34"/>
      <c r="D198" s="33"/>
      <c r="E198" s="18"/>
      <c r="F198" s="16"/>
      <c r="G198" s="16"/>
      <c r="H198" s="16"/>
      <c r="I198" s="16"/>
      <c r="J198" s="16"/>
      <c r="K198" s="16"/>
      <c r="L198" s="37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38"/>
      <c r="Z198" s="34"/>
      <c r="AA198" s="18"/>
    </row>
    <row r="199" ht="21.0" customHeight="1">
      <c r="A199" s="18"/>
      <c r="B199" s="33"/>
      <c r="C199" s="34"/>
      <c r="D199" s="33"/>
      <c r="E199" s="18"/>
      <c r="F199" s="16"/>
      <c r="G199" s="16"/>
      <c r="H199" s="16"/>
      <c r="I199" s="16"/>
      <c r="J199" s="16"/>
      <c r="K199" s="16"/>
      <c r="L199" s="37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38"/>
      <c r="Z199" s="34"/>
      <c r="AA199" s="18"/>
    </row>
    <row r="200" ht="21.0" customHeight="1">
      <c r="A200" s="18"/>
      <c r="B200" s="33"/>
      <c r="C200" s="34"/>
      <c r="D200" s="33"/>
      <c r="E200" s="18"/>
      <c r="F200" s="16"/>
      <c r="G200" s="16"/>
      <c r="H200" s="16"/>
      <c r="I200" s="16"/>
      <c r="J200" s="16"/>
      <c r="K200" s="16"/>
      <c r="L200" s="37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38"/>
      <c r="Z200" s="34"/>
      <c r="AA200" s="18"/>
    </row>
    <row r="201" ht="21.0" customHeight="1">
      <c r="A201" s="18"/>
      <c r="B201" s="33"/>
      <c r="C201" s="34"/>
      <c r="D201" s="33"/>
      <c r="E201" s="18"/>
      <c r="F201" s="16"/>
      <c r="G201" s="16"/>
      <c r="H201" s="16"/>
      <c r="I201" s="16"/>
      <c r="J201" s="16"/>
      <c r="K201" s="16"/>
      <c r="L201" s="37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38"/>
      <c r="Z201" s="34"/>
      <c r="AA201" s="18"/>
    </row>
    <row r="202" ht="21.0" customHeight="1">
      <c r="A202" s="18"/>
      <c r="B202" s="33"/>
      <c r="C202" s="34"/>
      <c r="D202" s="33"/>
      <c r="E202" s="18"/>
      <c r="F202" s="16"/>
      <c r="G202" s="16"/>
      <c r="H202" s="16"/>
      <c r="I202" s="16"/>
      <c r="J202" s="16"/>
      <c r="K202" s="16"/>
      <c r="L202" s="37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38"/>
      <c r="Z202" s="34"/>
      <c r="AA202" s="18"/>
    </row>
    <row r="203" ht="21.0" customHeight="1">
      <c r="A203" s="18"/>
      <c r="B203" s="33"/>
      <c r="C203" s="34"/>
      <c r="D203" s="33"/>
      <c r="E203" s="18"/>
      <c r="F203" s="16"/>
      <c r="G203" s="16"/>
      <c r="H203" s="16"/>
      <c r="I203" s="16"/>
      <c r="J203" s="16"/>
      <c r="K203" s="16"/>
      <c r="L203" s="37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38"/>
      <c r="Z203" s="34"/>
      <c r="AA203" s="18"/>
    </row>
    <row r="204" ht="21.0" customHeight="1">
      <c r="A204" s="18"/>
      <c r="B204" s="33"/>
      <c r="C204" s="34"/>
      <c r="D204" s="33"/>
      <c r="E204" s="18"/>
      <c r="F204" s="16"/>
      <c r="G204" s="16"/>
      <c r="H204" s="16"/>
      <c r="I204" s="16"/>
      <c r="J204" s="16"/>
      <c r="K204" s="16"/>
      <c r="L204" s="37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38"/>
      <c r="Z204" s="34"/>
      <c r="AA204" s="18"/>
    </row>
    <row r="205" ht="21.0" customHeight="1">
      <c r="A205" s="18"/>
      <c r="B205" s="33"/>
      <c r="C205" s="34"/>
      <c r="D205" s="33"/>
      <c r="E205" s="18"/>
      <c r="F205" s="16"/>
      <c r="G205" s="16"/>
      <c r="H205" s="16"/>
      <c r="I205" s="16"/>
      <c r="J205" s="16"/>
      <c r="K205" s="16"/>
      <c r="L205" s="37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38"/>
      <c r="Z205" s="34"/>
      <c r="AA205" s="18"/>
    </row>
    <row r="206" ht="21.0" customHeight="1">
      <c r="A206" s="18"/>
      <c r="B206" s="33"/>
      <c r="C206" s="34"/>
      <c r="D206" s="33"/>
      <c r="E206" s="18"/>
      <c r="F206" s="16"/>
      <c r="G206" s="16"/>
      <c r="H206" s="16"/>
      <c r="I206" s="16"/>
      <c r="J206" s="16"/>
      <c r="K206" s="16"/>
      <c r="L206" s="37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38"/>
      <c r="Z206" s="34"/>
      <c r="AA206" s="18"/>
    </row>
    <row r="207" ht="21.0" customHeight="1">
      <c r="A207" s="18"/>
      <c r="B207" s="33"/>
      <c r="C207" s="34"/>
      <c r="D207" s="33"/>
      <c r="E207" s="18"/>
      <c r="F207" s="16"/>
      <c r="G207" s="16"/>
      <c r="H207" s="16"/>
      <c r="I207" s="16"/>
      <c r="J207" s="16"/>
      <c r="K207" s="16"/>
      <c r="L207" s="37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38"/>
      <c r="Z207" s="34"/>
      <c r="AA207" s="18"/>
    </row>
    <row r="208" ht="21.0" customHeight="1">
      <c r="A208" s="18"/>
      <c r="B208" s="33"/>
      <c r="C208" s="34"/>
      <c r="D208" s="33"/>
      <c r="E208" s="18"/>
      <c r="F208" s="16"/>
      <c r="G208" s="16"/>
      <c r="H208" s="16"/>
      <c r="I208" s="16"/>
      <c r="J208" s="16"/>
      <c r="K208" s="16"/>
      <c r="L208" s="37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38"/>
      <c r="Z208" s="34"/>
      <c r="AA208" s="18"/>
    </row>
    <row r="209" ht="21.0" customHeight="1">
      <c r="A209" s="18"/>
      <c r="B209" s="33"/>
      <c r="C209" s="34"/>
      <c r="D209" s="33"/>
      <c r="E209" s="18"/>
      <c r="F209" s="16"/>
      <c r="G209" s="16"/>
      <c r="H209" s="16"/>
      <c r="I209" s="16"/>
      <c r="J209" s="16"/>
      <c r="K209" s="16"/>
      <c r="L209" s="37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38"/>
      <c r="Z209" s="34"/>
      <c r="AA209" s="18"/>
    </row>
    <row r="210" ht="21.0" customHeight="1">
      <c r="A210" s="18"/>
      <c r="B210" s="33"/>
      <c r="C210" s="34"/>
      <c r="D210" s="33"/>
      <c r="E210" s="18"/>
      <c r="F210" s="16"/>
      <c r="G210" s="16"/>
      <c r="H210" s="16"/>
      <c r="I210" s="16"/>
      <c r="J210" s="16"/>
      <c r="K210" s="16"/>
      <c r="L210" s="37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38"/>
      <c r="Z210" s="34"/>
      <c r="AA210" s="18"/>
    </row>
    <row r="211" ht="21.0" customHeight="1">
      <c r="A211" s="18"/>
      <c r="B211" s="33"/>
      <c r="C211" s="34"/>
      <c r="D211" s="33"/>
      <c r="E211" s="18"/>
      <c r="F211" s="16"/>
      <c r="G211" s="16"/>
      <c r="H211" s="16"/>
      <c r="I211" s="16"/>
      <c r="J211" s="16"/>
      <c r="K211" s="16"/>
      <c r="L211" s="37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38"/>
      <c r="Z211" s="34"/>
      <c r="AA211" s="18"/>
    </row>
    <row r="212" ht="21.0" customHeight="1">
      <c r="A212" s="18"/>
      <c r="B212" s="33"/>
      <c r="C212" s="34"/>
      <c r="D212" s="33"/>
      <c r="E212" s="18"/>
      <c r="F212" s="16"/>
      <c r="G212" s="16"/>
      <c r="H212" s="16"/>
      <c r="I212" s="16"/>
      <c r="J212" s="16"/>
      <c r="K212" s="16"/>
      <c r="L212" s="37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38"/>
      <c r="Z212" s="34"/>
      <c r="AA212" s="18"/>
    </row>
    <row r="213" ht="21.0" customHeight="1">
      <c r="A213" s="18"/>
      <c r="B213" s="33"/>
      <c r="C213" s="34"/>
      <c r="D213" s="33"/>
      <c r="E213" s="18"/>
      <c r="F213" s="16"/>
      <c r="G213" s="16"/>
      <c r="H213" s="16"/>
      <c r="I213" s="16"/>
      <c r="J213" s="16"/>
      <c r="K213" s="16"/>
      <c r="L213" s="37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38"/>
      <c r="Z213" s="34"/>
      <c r="AA213" s="18"/>
    </row>
    <row r="214" ht="21.0" customHeight="1">
      <c r="A214" s="18"/>
      <c r="B214" s="33"/>
      <c r="C214" s="34"/>
      <c r="D214" s="33"/>
      <c r="E214" s="18"/>
      <c r="F214" s="16"/>
      <c r="G214" s="16"/>
      <c r="H214" s="16"/>
      <c r="I214" s="16"/>
      <c r="J214" s="16"/>
      <c r="K214" s="16"/>
      <c r="L214" s="37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38"/>
      <c r="Z214" s="34"/>
      <c r="AA214" s="18"/>
    </row>
    <row r="215" ht="21.0" customHeight="1">
      <c r="A215" s="18"/>
      <c r="B215" s="33"/>
      <c r="C215" s="34"/>
      <c r="D215" s="33"/>
      <c r="E215" s="18"/>
      <c r="F215" s="16"/>
      <c r="G215" s="16"/>
      <c r="H215" s="16"/>
      <c r="I215" s="16"/>
      <c r="J215" s="16"/>
      <c r="K215" s="16"/>
      <c r="L215" s="37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38"/>
      <c r="Z215" s="34"/>
      <c r="AA215" s="18"/>
    </row>
    <row r="216" ht="21.0" customHeight="1">
      <c r="A216" s="18"/>
      <c r="B216" s="33"/>
      <c r="C216" s="34"/>
      <c r="D216" s="33"/>
      <c r="E216" s="18"/>
      <c r="F216" s="16"/>
      <c r="G216" s="16"/>
      <c r="H216" s="16"/>
      <c r="I216" s="16"/>
      <c r="J216" s="16"/>
      <c r="K216" s="16"/>
      <c r="L216" s="37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38"/>
      <c r="Z216" s="34"/>
      <c r="AA216" s="18"/>
    </row>
    <row r="217" ht="21.0" customHeight="1">
      <c r="A217" s="18"/>
      <c r="B217" s="33"/>
      <c r="C217" s="34"/>
      <c r="D217" s="33"/>
      <c r="E217" s="18"/>
      <c r="F217" s="16"/>
      <c r="G217" s="16"/>
      <c r="H217" s="16"/>
      <c r="I217" s="16"/>
      <c r="J217" s="16"/>
      <c r="K217" s="16"/>
      <c r="L217" s="37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38"/>
      <c r="Z217" s="34"/>
      <c r="AA217" s="18"/>
    </row>
    <row r="218" ht="21.0" customHeight="1">
      <c r="A218" s="18"/>
      <c r="B218" s="33"/>
      <c r="C218" s="34"/>
      <c r="D218" s="33"/>
      <c r="E218" s="18"/>
      <c r="F218" s="16"/>
      <c r="G218" s="16"/>
      <c r="H218" s="16"/>
      <c r="I218" s="16"/>
      <c r="J218" s="16"/>
      <c r="K218" s="16"/>
      <c r="L218" s="37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38"/>
      <c r="Z218" s="34"/>
      <c r="AA218" s="18"/>
    </row>
    <row r="219" ht="21.0" customHeight="1">
      <c r="A219" s="18"/>
      <c r="B219" s="33"/>
      <c r="C219" s="34"/>
      <c r="D219" s="33"/>
      <c r="E219" s="18"/>
      <c r="F219" s="16"/>
      <c r="G219" s="16"/>
      <c r="H219" s="16"/>
      <c r="I219" s="16"/>
      <c r="J219" s="16"/>
      <c r="K219" s="16"/>
      <c r="L219" s="37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38"/>
      <c r="Z219" s="34"/>
      <c r="AA219" s="18"/>
    </row>
    <row r="220" ht="21.0" customHeight="1">
      <c r="A220" s="18"/>
      <c r="B220" s="33"/>
      <c r="C220" s="34"/>
      <c r="D220" s="33"/>
      <c r="E220" s="18"/>
      <c r="F220" s="16"/>
      <c r="G220" s="16"/>
      <c r="H220" s="16"/>
      <c r="I220" s="16"/>
      <c r="J220" s="16"/>
      <c r="K220" s="16"/>
      <c r="L220" s="37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38"/>
      <c r="Z220" s="34"/>
      <c r="AA220" s="18"/>
    </row>
    <row r="221" ht="21.0" customHeight="1">
      <c r="A221" s="18"/>
      <c r="B221" s="33"/>
      <c r="C221" s="34"/>
      <c r="D221" s="33"/>
      <c r="E221" s="18"/>
      <c r="F221" s="16"/>
      <c r="G221" s="16"/>
      <c r="H221" s="16"/>
      <c r="I221" s="16"/>
      <c r="J221" s="16"/>
      <c r="K221" s="16"/>
      <c r="L221" s="37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38"/>
      <c r="Z221" s="34"/>
      <c r="AA221" s="18"/>
    </row>
    <row r="222" ht="21.0" customHeight="1">
      <c r="A222" s="18"/>
      <c r="B222" s="33"/>
      <c r="C222" s="34"/>
      <c r="D222" s="33"/>
      <c r="E222" s="18"/>
      <c r="F222" s="16"/>
      <c r="G222" s="16"/>
      <c r="H222" s="16"/>
      <c r="I222" s="16"/>
      <c r="J222" s="16"/>
      <c r="K222" s="16"/>
      <c r="L222" s="37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38"/>
      <c r="Z222" s="34"/>
      <c r="AA222" s="18"/>
    </row>
    <row r="223" ht="21.0" customHeight="1">
      <c r="A223" s="18"/>
      <c r="B223" s="33"/>
      <c r="C223" s="34"/>
      <c r="D223" s="33"/>
      <c r="E223" s="18"/>
      <c r="F223" s="16"/>
      <c r="G223" s="16"/>
      <c r="H223" s="16"/>
      <c r="I223" s="16"/>
      <c r="J223" s="16"/>
      <c r="K223" s="16"/>
      <c r="L223" s="37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38"/>
      <c r="Z223" s="34"/>
      <c r="AA223" s="18"/>
    </row>
    <row r="224" ht="21.0" customHeight="1">
      <c r="A224" s="18"/>
      <c r="B224" s="33"/>
      <c r="C224" s="34"/>
      <c r="D224" s="33"/>
      <c r="E224" s="18"/>
      <c r="F224" s="16"/>
      <c r="G224" s="16"/>
      <c r="H224" s="16"/>
      <c r="I224" s="16"/>
      <c r="J224" s="16"/>
      <c r="K224" s="16"/>
      <c r="L224" s="37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38"/>
      <c r="Z224" s="34"/>
      <c r="AA224" s="18"/>
    </row>
    <row r="225" ht="21.0" customHeight="1">
      <c r="A225" s="18"/>
      <c r="B225" s="33"/>
      <c r="C225" s="34"/>
      <c r="D225" s="33"/>
      <c r="E225" s="18"/>
      <c r="F225" s="16"/>
      <c r="G225" s="16"/>
      <c r="H225" s="16"/>
      <c r="I225" s="16"/>
      <c r="J225" s="16"/>
      <c r="K225" s="16"/>
      <c r="L225" s="37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38"/>
      <c r="Z225" s="34"/>
      <c r="AA225" s="18"/>
    </row>
    <row r="226" ht="21.0" customHeight="1">
      <c r="A226" s="18"/>
      <c r="B226" s="33"/>
      <c r="C226" s="34"/>
      <c r="D226" s="33"/>
      <c r="E226" s="18"/>
      <c r="F226" s="16"/>
      <c r="G226" s="16"/>
      <c r="H226" s="16"/>
      <c r="I226" s="16"/>
      <c r="J226" s="16"/>
      <c r="K226" s="16"/>
      <c r="L226" s="37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38"/>
      <c r="Z226" s="34"/>
      <c r="AA226" s="18"/>
    </row>
    <row r="227" ht="21.0" customHeight="1">
      <c r="A227" s="18"/>
      <c r="B227" s="33"/>
      <c r="C227" s="34"/>
      <c r="D227" s="33"/>
      <c r="E227" s="18"/>
      <c r="F227" s="16"/>
      <c r="G227" s="16"/>
      <c r="H227" s="16"/>
      <c r="I227" s="16"/>
      <c r="J227" s="16"/>
      <c r="K227" s="16"/>
      <c r="L227" s="37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38"/>
      <c r="Z227" s="34"/>
      <c r="AA227" s="18"/>
    </row>
    <row r="228" ht="21.0" customHeight="1">
      <c r="A228" s="18"/>
      <c r="B228" s="33"/>
      <c r="C228" s="34"/>
      <c r="D228" s="33"/>
      <c r="E228" s="18"/>
      <c r="F228" s="16"/>
      <c r="G228" s="16"/>
      <c r="H228" s="16"/>
      <c r="I228" s="16"/>
      <c r="J228" s="16"/>
      <c r="K228" s="16"/>
      <c r="L228" s="37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38"/>
      <c r="Z228" s="34"/>
      <c r="AA228" s="18"/>
    </row>
    <row r="229" ht="21.0" customHeight="1">
      <c r="A229" s="18"/>
      <c r="B229" s="33"/>
      <c r="C229" s="34"/>
      <c r="D229" s="33"/>
      <c r="E229" s="18"/>
      <c r="F229" s="16"/>
      <c r="G229" s="16"/>
      <c r="H229" s="16"/>
      <c r="I229" s="16"/>
      <c r="J229" s="16"/>
      <c r="K229" s="16"/>
      <c r="L229" s="37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38"/>
      <c r="Z229" s="34"/>
      <c r="AA229" s="18"/>
    </row>
    <row r="230" ht="21.0" customHeight="1">
      <c r="A230" s="18"/>
      <c r="B230" s="33"/>
      <c r="C230" s="34"/>
      <c r="D230" s="33"/>
      <c r="E230" s="18"/>
      <c r="F230" s="16"/>
      <c r="G230" s="16"/>
      <c r="H230" s="16"/>
      <c r="I230" s="16"/>
      <c r="J230" s="16"/>
      <c r="K230" s="16"/>
      <c r="L230" s="37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38"/>
      <c r="Z230" s="34"/>
      <c r="AA230" s="18"/>
    </row>
    <row r="231" ht="21.0" customHeight="1">
      <c r="A231" s="18"/>
      <c r="B231" s="33"/>
      <c r="C231" s="34"/>
      <c r="D231" s="33"/>
      <c r="E231" s="18"/>
      <c r="F231" s="16"/>
      <c r="G231" s="16"/>
      <c r="H231" s="16"/>
      <c r="I231" s="16"/>
      <c r="J231" s="16"/>
      <c r="K231" s="16"/>
      <c r="L231" s="37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38"/>
      <c r="Z231" s="34"/>
      <c r="AA231" s="18"/>
    </row>
    <row r="232" ht="21.0" customHeight="1">
      <c r="A232" s="18"/>
      <c r="B232" s="33"/>
      <c r="C232" s="34"/>
      <c r="D232" s="33"/>
      <c r="E232" s="18"/>
      <c r="F232" s="16"/>
      <c r="G232" s="16"/>
      <c r="H232" s="16"/>
      <c r="I232" s="16"/>
      <c r="J232" s="16"/>
      <c r="K232" s="16"/>
      <c r="L232" s="37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38"/>
      <c r="Z232" s="34"/>
      <c r="AA232" s="18"/>
    </row>
    <row r="233" ht="21.0" customHeight="1">
      <c r="A233" s="18"/>
      <c r="B233" s="33"/>
      <c r="C233" s="34"/>
      <c r="D233" s="33"/>
      <c r="E233" s="18"/>
      <c r="F233" s="16"/>
      <c r="G233" s="16"/>
      <c r="H233" s="16"/>
      <c r="I233" s="16"/>
      <c r="J233" s="16"/>
      <c r="K233" s="16"/>
      <c r="L233" s="37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38"/>
      <c r="Z233" s="34"/>
      <c r="AA233" s="18"/>
    </row>
    <row r="234" ht="21.0" customHeight="1">
      <c r="A234" s="18"/>
      <c r="B234" s="33"/>
      <c r="C234" s="34"/>
      <c r="D234" s="33"/>
      <c r="E234" s="18"/>
      <c r="F234" s="16"/>
      <c r="G234" s="16"/>
      <c r="H234" s="16"/>
      <c r="I234" s="16"/>
      <c r="J234" s="16"/>
      <c r="K234" s="16"/>
      <c r="L234" s="37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38"/>
      <c r="Z234" s="34"/>
      <c r="AA234" s="18"/>
    </row>
    <row r="235" ht="21.0" customHeight="1">
      <c r="A235" s="18"/>
      <c r="B235" s="33"/>
      <c r="C235" s="34"/>
      <c r="D235" s="33"/>
      <c r="E235" s="18"/>
      <c r="F235" s="16"/>
      <c r="G235" s="16"/>
      <c r="H235" s="16"/>
      <c r="I235" s="16"/>
      <c r="J235" s="16"/>
      <c r="K235" s="16"/>
      <c r="L235" s="37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38"/>
      <c r="Z235" s="34"/>
      <c r="AA235" s="18"/>
    </row>
    <row r="236" ht="21.0" customHeight="1">
      <c r="A236" s="18"/>
      <c r="B236" s="33"/>
      <c r="C236" s="34"/>
      <c r="D236" s="33"/>
      <c r="E236" s="18"/>
      <c r="F236" s="16"/>
      <c r="G236" s="16"/>
      <c r="H236" s="16"/>
      <c r="I236" s="16"/>
      <c r="J236" s="16"/>
      <c r="K236" s="16"/>
      <c r="L236" s="37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38"/>
      <c r="Z236" s="34"/>
      <c r="AA236" s="18"/>
    </row>
    <row r="237" ht="21.0" customHeight="1">
      <c r="A237" s="18"/>
      <c r="B237" s="33"/>
      <c r="C237" s="34"/>
      <c r="D237" s="33"/>
      <c r="E237" s="18"/>
      <c r="F237" s="16"/>
      <c r="G237" s="16"/>
      <c r="H237" s="16"/>
      <c r="I237" s="16"/>
      <c r="J237" s="16"/>
      <c r="K237" s="16"/>
      <c r="L237" s="37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38"/>
      <c r="Z237" s="34"/>
      <c r="AA237" s="18"/>
    </row>
    <row r="238" ht="21.0" customHeight="1">
      <c r="A238" s="18"/>
      <c r="B238" s="33"/>
      <c r="C238" s="34"/>
      <c r="D238" s="33"/>
      <c r="E238" s="18"/>
      <c r="F238" s="16"/>
      <c r="G238" s="16"/>
      <c r="H238" s="16"/>
      <c r="I238" s="16"/>
      <c r="J238" s="16"/>
      <c r="K238" s="16"/>
      <c r="L238" s="37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38"/>
      <c r="Z238" s="34"/>
      <c r="AA238" s="18"/>
    </row>
    <row r="239" ht="21.0" customHeight="1">
      <c r="A239" s="18"/>
      <c r="B239" s="33"/>
      <c r="C239" s="34"/>
      <c r="D239" s="33"/>
      <c r="E239" s="18"/>
      <c r="F239" s="16"/>
      <c r="G239" s="16"/>
      <c r="H239" s="16"/>
      <c r="I239" s="16"/>
      <c r="J239" s="16"/>
      <c r="K239" s="16"/>
      <c r="L239" s="37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38"/>
      <c r="Z239" s="34"/>
      <c r="AA239" s="18"/>
    </row>
    <row r="240" ht="21.0" customHeight="1">
      <c r="A240" s="18"/>
      <c r="B240" s="33"/>
      <c r="C240" s="34"/>
      <c r="D240" s="33"/>
      <c r="E240" s="18"/>
      <c r="F240" s="16"/>
      <c r="G240" s="16"/>
      <c r="H240" s="16"/>
      <c r="I240" s="16"/>
      <c r="J240" s="16"/>
      <c r="K240" s="16"/>
      <c r="L240" s="37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38"/>
      <c r="Z240" s="34"/>
      <c r="AA240" s="18"/>
    </row>
    <row r="241" ht="21.0" customHeight="1">
      <c r="A241" s="18"/>
      <c r="B241" s="33"/>
      <c r="C241" s="34"/>
      <c r="D241" s="33"/>
      <c r="E241" s="18"/>
      <c r="F241" s="16"/>
      <c r="G241" s="16"/>
      <c r="H241" s="16"/>
      <c r="I241" s="16"/>
      <c r="J241" s="16"/>
      <c r="K241" s="16"/>
      <c r="L241" s="37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38"/>
      <c r="Z241" s="34"/>
      <c r="AA241" s="18"/>
    </row>
    <row r="242" ht="21.0" customHeight="1">
      <c r="A242" s="18"/>
      <c r="B242" s="33"/>
      <c r="C242" s="34"/>
      <c r="D242" s="33"/>
      <c r="E242" s="18"/>
      <c r="F242" s="16"/>
      <c r="G242" s="16"/>
      <c r="H242" s="16"/>
      <c r="I242" s="16"/>
      <c r="J242" s="16"/>
      <c r="K242" s="16"/>
      <c r="L242" s="37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38"/>
      <c r="Z242" s="34"/>
      <c r="AA242" s="18"/>
    </row>
    <row r="243" ht="21.0" customHeight="1">
      <c r="A243" s="18"/>
      <c r="B243" s="33"/>
      <c r="C243" s="34"/>
      <c r="D243" s="33"/>
      <c r="E243" s="18"/>
      <c r="F243" s="16"/>
      <c r="G243" s="16"/>
      <c r="H243" s="16"/>
      <c r="I243" s="16"/>
      <c r="J243" s="16"/>
      <c r="K243" s="16"/>
      <c r="L243" s="37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38"/>
      <c r="Z243" s="34"/>
      <c r="AA243" s="18"/>
    </row>
    <row r="244" ht="21.0" customHeight="1">
      <c r="A244" s="18"/>
      <c r="B244" s="33"/>
      <c r="C244" s="34"/>
      <c r="D244" s="33"/>
      <c r="E244" s="18"/>
      <c r="F244" s="16"/>
      <c r="G244" s="16"/>
      <c r="H244" s="16"/>
      <c r="I244" s="16"/>
      <c r="J244" s="16"/>
      <c r="K244" s="16"/>
      <c r="L244" s="37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38"/>
      <c r="Z244" s="34"/>
      <c r="AA244" s="18"/>
    </row>
    <row r="245" ht="21.0" customHeight="1">
      <c r="A245" s="18"/>
      <c r="B245" s="33"/>
      <c r="C245" s="34"/>
      <c r="D245" s="33"/>
      <c r="E245" s="18"/>
      <c r="F245" s="16"/>
      <c r="G245" s="16"/>
      <c r="H245" s="16"/>
      <c r="I245" s="16"/>
      <c r="J245" s="16"/>
      <c r="K245" s="16"/>
      <c r="L245" s="37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38"/>
      <c r="Z245" s="34"/>
      <c r="AA245" s="18"/>
    </row>
    <row r="246" ht="21.0" customHeight="1">
      <c r="A246" s="18"/>
      <c r="B246" s="33"/>
      <c r="C246" s="34"/>
      <c r="D246" s="33"/>
      <c r="E246" s="18"/>
      <c r="F246" s="16"/>
      <c r="G246" s="16"/>
      <c r="H246" s="16"/>
      <c r="I246" s="16"/>
      <c r="J246" s="16"/>
      <c r="K246" s="16"/>
      <c r="L246" s="37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38"/>
      <c r="Z246" s="34"/>
      <c r="AA246" s="18"/>
    </row>
    <row r="247" ht="21.0" customHeight="1">
      <c r="A247" s="18"/>
      <c r="B247" s="33"/>
      <c r="C247" s="34"/>
      <c r="D247" s="33"/>
      <c r="E247" s="18"/>
      <c r="F247" s="16"/>
      <c r="G247" s="16"/>
      <c r="H247" s="16"/>
      <c r="I247" s="16"/>
      <c r="J247" s="16"/>
      <c r="K247" s="16"/>
      <c r="L247" s="37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38"/>
      <c r="Z247" s="34"/>
      <c r="AA247" s="18"/>
    </row>
    <row r="248" ht="21.0" customHeight="1">
      <c r="A248" s="18"/>
      <c r="B248" s="33"/>
      <c r="C248" s="34"/>
      <c r="D248" s="33"/>
      <c r="E248" s="18"/>
      <c r="F248" s="16"/>
      <c r="G248" s="16"/>
      <c r="H248" s="16"/>
      <c r="I248" s="16"/>
      <c r="J248" s="16"/>
      <c r="K248" s="16"/>
      <c r="L248" s="37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38"/>
      <c r="Z248" s="34"/>
      <c r="AA248" s="18"/>
    </row>
    <row r="249" ht="21.0" customHeight="1">
      <c r="A249" s="18"/>
      <c r="B249" s="33"/>
      <c r="C249" s="34"/>
      <c r="D249" s="33"/>
      <c r="E249" s="18"/>
      <c r="F249" s="16"/>
      <c r="G249" s="16"/>
      <c r="H249" s="16"/>
      <c r="I249" s="16"/>
      <c r="J249" s="16"/>
      <c r="K249" s="16"/>
      <c r="L249" s="37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38"/>
      <c r="Z249" s="34"/>
      <c r="AA249" s="18"/>
    </row>
    <row r="250" ht="21.0" customHeight="1">
      <c r="A250" s="18"/>
      <c r="B250" s="33"/>
      <c r="C250" s="34"/>
      <c r="D250" s="33"/>
      <c r="E250" s="18"/>
      <c r="F250" s="16"/>
      <c r="G250" s="16"/>
      <c r="H250" s="16"/>
      <c r="I250" s="16"/>
      <c r="J250" s="16"/>
      <c r="K250" s="16"/>
      <c r="L250" s="37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38"/>
      <c r="Z250" s="34"/>
      <c r="AA250" s="18"/>
    </row>
    <row r="251" ht="21.0" customHeight="1">
      <c r="A251" s="18"/>
      <c r="B251" s="33"/>
      <c r="C251" s="34"/>
      <c r="D251" s="33"/>
      <c r="E251" s="18"/>
      <c r="F251" s="16"/>
      <c r="G251" s="16"/>
      <c r="H251" s="16"/>
      <c r="I251" s="16"/>
      <c r="J251" s="16"/>
      <c r="K251" s="16"/>
      <c r="L251" s="37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38"/>
      <c r="Z251" s="34"/>
      <c r="AA251" s="18"/>
    </row>
    <row r="252" ht="21.0" customHeight="1">
      <c r="A252" s="18"/>
      <c r="B252" s="33"/>
      <c r="C252" s="34"/>
      <c r="D252" s="33"/>
      <c r="E252" s="18"/>
      <c r="F252" s="16"/>
      <c r="G252" s="16"/>
      <c r="H252" s="16"/>
      <c r="I252" s="16"/>
      <c r="J252" s="16"/>
      <c r="K252" s="16"/>
      <c r="L252" s="37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38"/>
      <c r="Z252" s="34"/>
      <c r="AA252" s="18"/>
    </row>
    <row r="253" ht="21.0" customHeight="1">
      <c r="A253" s="18"/>
      <c r="B253" s="33"/>
      <c r="C253" s="34"/>
      <c r="D253" s="33"/>
      <c r="E253" s="18"/>
      <c r="F253" s="16"/>
      <c r="G253" s="16"/>
      <c r="H253" s="16"/>
      <c r="I253" s="16"/>
      <c r="J253" s="16"/>
      <c r="K253" s="16"/>
      <c r="L253" s="37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38"/>
      <c r="Z253" s="34"/>
      <c r="AA253" s="18"/>
    </row>
    <row r="254" ht="21.0" customHeight="1">
      <c r="A254" s="18"/>
      <c r="B254" s="33"/>
      <c r="C254" s="34"/>
      <c r="D254" s="33"/>
      <c r="E254" s="18"/>
      <c r="F254" s="16"/>
      <c r="G254" s="16"/>
      <c r="H254" s="16"/>
      <c r="I254" s="16"/>
      <c r="J254" s="16"/>
      <c r="K254" s="16"/>
      <c r="L254" s="37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38"/>
      <c r="Z254" s="34"/>
      <c r="AA254" s="18"/>
    </row>
    <row r="255" ht="21.0" customHeight="1">
      <c r="A255" s="18"/>
      <c r="B255" s="33"/>
      <c r="C255" s="34"/>
      <c r="D255" s="33"/>
      <c r="E255" s="18"/>
      <c r="F255" s="16"/>
      <c r="G255" s="16"/>
      <c r="H255" s="16"/>
      <c r="I255" s="16"/>
      <c r="J255" s="16"/>
      <c r="K255" s="16"/>
      <c r="L255" s="37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38"/>
      <c r="Z255" s="34"/>
      <c r="AA255" s="18"/>
    </row>
    <row r="256" ht="21.0" customHeight="1">
      <c r="A256" s="18"/>
      <c r="B256" s="33"/>
      <c r="C256" s="34"/>
      <c r="D256" s="33"/>
      <c r="E256" s="18"/>
      <c r="F256" s="16"/>
      <c r="G256" s="16"/>
      <c r="H256" s="16"/>
      <c r="I256" s="16"/>
      <c r="J256" s="16"/>
      <c r="K256" s="16"/>
      <c r="L256" s="37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38"/>
      <c r="Z256" s="34"/>
      <c r="AA256" s="18"/>
    </row>
    <row r="257" ht="21.0" customHeight="1">
      <c r="A257" s="18"/>
      <c r="B257" s="33"/>
      <c r="C257" s="34"/>
      <c r="D257" s="33"/>
      <c r="E257" s="18"/>
      <c r="F257" s="16"/>
      <c r="G257" s="16"/>
      <c r="H257" s="16"/>
      <c r="I257" s="16"/>
      <c r="J257" s="16"/>
      <c r="K257" s="16"/>
      <c r="L257" s="37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38"/>
      <c r="Z257" s="34"/>
      <c r="AA257" s="18"/>
    </row>
    <row r="258" ht="21.0" customHeight="1">
      <c r="A258" s="18"/>
      <c r="B258" s="33"/>
      <c r="C258" s="34"/>
      <c r="D258" s="33"/>
      <c r="E258" s="18"/>
      <c r="F258" s="16"/>
      <c r="G258" s="16"/>
      <c r="H258" s="16"/>
      <c r="I258" s="16"/>
      <c r="J258" s="16"/>
      <c r="K258" s="16"/>
      <c r="L258" s="37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38"/>
      <c r="Z258" s="34"/>
      <c r="AA258" s="18"/>
    </row>
    <row r="259" ht="21.0" customHeight="1">
      <c r="A259" s="18"/>
      <c r="B259" s="33"/>
      <c r="C259" s="34"/>
      <c r="D259" s="33"/>
      <c r="E259" s="18"/>
      <c r="F259" s="16"/>
      <c r="G259" s="16"/>
      <c r="H259" s="16"/>
      <c r="I259" s="16"/>
      <c r="J259" s="16"/>
      <c r="K259" s="16"/>
      <c r="L259" s="37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38"/>
      <c r="Z259" s="34"/>
      <c r="AA259" s="18"/>
    </row>
    <row r="260" ht="21.0" customHeight="1">
      <c r="A260" s="18"/>
      <c r="B260" s="33"/>
      <c r="C260" s="34"/>
      <c r="D260" s="33"/>
      <c r="E260" s="18"/>
      <c r="F260" s="16"/>
      <c r="G260" s="16"/>
      <c r="H260" s="16"/>
      <c r="I260" s="16"/>
      <c r="J260" s="16"/>
      <c r="K260" s="16"/>
      <c r="L260" s="37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38"/>
      <c r="Z260" s="34"/>
      <c r="AA260" s="18"/>
    </row>
    <row r="261" ht="21.0" customHeight="1">
      <c r="A261" s="18"/>
      <c r="B261" s="33"/>
      <c r="C261" s="34"/>
      <c r="D261" s="33"/>
      <c r="E261" s="18"/>
      <c r="F261" s="16"/>
      <c r="G261" s="16"/>
      <c r="H261" s="16"/>
      <c r="I261" s="16"/>
      <c r="J261" s="16"/>
      <c r="K261" s="16"/>
      <c r="L261" s="37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38"/>
      <c r="Z261" s="34"/>
      <c r="AA261" s="18"/>
    </row>
    <row r="262" ht="21.0" customHeight="1">
      <c r="A262" s="18"/>
      <c r="B262" s="33"/>
      <c r="C262" s="34"/>
      <c r="D262" s="33"/>
      <c r="E262" s="18"/>
      <c r="F262" s="16"/>
      <c r="G262" s="16"/>
      <c r="H262" s="16"/>
      <c r="I262" s="16"/>
      <c r="J262" s="16"/>
      <c r="K262" s="16"/>
      <c r="L262" s="37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38"/>
      <c r="Z262" s="34"/>
      <c r="AA262" s="18"/>
    </row>
    <row r="263" ht="21.0" customHeight="1">
      <c r="A263" s="18"/>
      <c r="B263" s="33"/>
      <c r="C263" s="34"/>
      <c r="D263" s="33"/>
      <c r="E263" s="18"/>
      <c r="F263" s="16"/>
      <c r="G263" s="16"/>
      <c r="H263" s="16"/>
      <c r="I263" s="16"/>
      <c r="J263" s="16"/>
      <c r="K263" s="16"/>
      <c r="L263" s="37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38"/>
      <c r="Z263" s="34"/>
      <c r="AA263" s="18"/>
    </row>
    <row r="264" ht="21.0" customHeight="1">
      <c r="A264" s="18"/>
      <c r="B264" s="33"/>
      <c r="C264" s="34"/>
      <c r="D264" s="33"/>
      <c r="E264" s="18"/>
      <c r="F264" s="16"/>
      <c r="G264" s="16"/>
      <c r="H264" s="16"/>
      <c r="I264" s="16"/>
      <c r="J264" s="16"/>
      <c r="K264" s="16"/>
      <c r="L264" s="37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38"/>
      <c r="Z264" s="34"/>
      <c r="AA264" s="18"/>
    </row>
    <row r="265" ht="21.0" customHeight="1">
      <c r="A265" s="18"/>
      <c r="B265" s="33"/>
      <c r="C265" s="34"/>
      <c r="D265" s="33"/>
      <c r="E265" s="18"/>
      <c r="F265" s="16"/>
      <c r="G265" s="16"/>
      <c r="H265" s="16"/>
      <c r="I265" s="16"/>
      <c r="J265" s="16"/>
      <c r="K265" s="16"/>
      <c r="L265" s="37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38"/>
      <c r="Z265" s="34"/>
      <c r="AA265" s="18"/>
    </row>
    <row r="266" ht="21.0" customHeight="1">
      <c r="A266" s="18"/>
      <c r="B266" s="33"/>
      <c r="C266" s="34"/>
      <c r="D266" s="33"/>
      <c r="E266" s="18"/>
      <c r="F266" s="16"/>
      <c r="G266" s="16"/>
      <c r="H266" s="16"/>
      <c r="I266" s="16"/>
      <c r="J266" s="16"/>
      <c r="K266" s="16"/>
      <c r="L266" s="37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38"/>
      <c r="Z266" s="34"/>
      <c r="AA266" s="18"/>
    </row>
    <row r="267" ht="21.0" customHeight="1">
      <c r="A267" s="18"/>
      <c r="B267" s="33"/>
      <c r="C267" s="34"/>
      <c r="D267" s="33"/>
      <c r="E267" s="18"/>
      <c r="F267" s="16"/>
      <c r="G267" s="16"/>
      <c r="H267" s="16"/>
      <c r="I267" s="16"/>
      <c r="J267" s="16"/>
      <c r="K267" s="16"/>
      <c r="L267" s="37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38"/>
      <c r="Z267" s="34"/>
      <c r="AA267" s="18"/>
    </row>
    <row r="268" ht="21.0" customHeight="1">
      <c r="A268" s="18"/>
      <c r="B268" s="33"/>
      <c r="C268" s="34"/>
      <c r="D268" s="33"/>
      <c r="E268" s="18"/>
      <c r="F268" s="16"/>
      <c r="G268" s="16"/>
      <c r="H268" s="16"/>
      <c r="I268" s="16"/>
      <c r="J268" s="16"/>
      <c r="K268" s="16"/>
      <c r="L268" s="37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38"/>
      <c r="Z268" s="34"/>
      <c r="AA268" s="18"/>
    </row>
    <row r="269" ht="21.0" customHeight="1">
      <c r="A269" s="18"/>
      <c r="B269" s="33"/>
      <c r="C269" s="34"/>
      <c r="D269" s="33"/>
      <c r="E269" s="18"/>
      <c r="F269" s="16"/>
      <c r="G269" s="16"/>
      <c r="H269" s="16"/>
      <c r="I269" s="16"/>
      <c r="J269" s="16"/>
      <c r="K269" s="16"/>
      <c r="L269" s="37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38"/>
      <c r="Z269" s="34"/>
      <c r="AA269" s="18"/>
    </row>
    <row r="270" ht="21.0" customHeight="1">
      <c r="A270" s="18"/>
      <c r="B270" s="33"/>
      <c r="C270" s="34"/>
      <c r="D270" s="33"/>
      <c r="E270" s="18"/>
      <c r="F270" s="16"/>
      <c r="G270" s="16"/>
      <c r="H270" s="16"/>
      <c r="I270" s="16"/>
      <c r="J270" s="16"/>
      <c r="K270" s="16"/>
      <c r="L270" s="37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38"/>
      <c r="Z270" s="34"/>
      <c r="AA270" s="18"/>
    </row>
    <row r="271" ht="21.0" customHeight="1">
      <c r="A271" s="18"/>
      <c r="B271" s="33"/>
      <c r="C271" s="34"/>
      <c r="D271" s="33"/>
      <c r="E271" s="18"/>
      <c r="F271" s="16"/>
      <c r="G271" s="16"/>
      <c r="H271" s="16"/>
      <c r="I271" s="16"/>
      <c r="J271" s="16"/>
      <c r="K271" s="16"/>
      <c r="L271" s="37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38"/>
      <c r="Z271" s="34"/>
      <c r="AA271" s="18"/>
    </row>
    <row r="272" ht="21.0" customHeight="1">
      <c r="A272" s="18"/>
      <c r="B272" s="33"/>
      <c r="C272" s="34"/>
      <c r="D272" s="33"/>
      <c r="E272" s="18"/>
      <c r="F272" s="16"/>
      <c r="G272" s="16"/>
      <c r="H272" s="16"/>
      <c r="I272" s="16"/>
      <c r="J272" s="16"/>
      <c r="K272" s="16"/>
      <c r="L272" s="37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38"/>
      <c r="Z272" s="34"/>
      <c r="AA272" s="18"/>
    </row>
    <row r="273" ht="21.0" customHeight="1">
      <c r="A273" s="18"/>
      <c r="B273" s="33"/>
      <c r="C273" s="34"/>
      <c r="D273" s="33"/>
      <c r="E273" s="18"/>
      <c r="F273" s="16"/>
      <c r="G273" s="16"/>
      <c r="H273" s="16"/>
      <c r="I273" s="16"/>
      <c r="J273" s="16"/>
      <c r="K273" s="16"/>
      <c r="L273" s="37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38"/>
      <c r="Z273" s="34"/>
      <c r="AA273" s="18"/>
    </row>
    <row r="274" ht="21.0" customHeight="1">
      <c r="A274" s="18"/>
      <c r="B274" s="33"/>
      <c r="C274" s="34"/>
      <c r="D274" s="33"/>
      <c r="E274" s="18"/>
      <c r="F274" s="16"/>
      <c r="G274" s="16"/>
      <c r="H274" s="16"/>
      <c r="I274" s="16"/>
      <c r="J274" s="16"/>
      <c r="K274" s="16"/>
      <c r="L274" s="37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38"/>
      <c r="Z274" s="34"/>
      <c r="AA274" s="18"/>
    </row>
    <row r="275" ht="21.0" customHeight="1">
      <c r="A275" s="18"/>
      <c r="B275" s="33"/>
      <c r="C275" s="34"/>
      <c r="D275" s="33"/>
      <c r="E275" s="18"/>
      <c r="F275" s="16"/>
      <c r="G275" s="16"/>
      <c r="H275" s="16"/>
      <c r="I275" s="16"/>
      <c r="J275" s="16"/>
      <c r="K275" s="16"/>
      <c r="L275" s="37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38"/>
      <c r="Z275" s="34"/>
      <c r="AA275" s="18"/>
    </row>
    <row r="276" ht="21.0" customHeight="1">
      <c r="A276" s="18"/>
      <c r="B276" s="33"/>
      <c r="C276" s="34"/>
      <c r="D276" s="33"/>
      <c r="E276" s="18"/>
      <c r="F276" s="16"/>
      <c r="G276" s="16"/>
      <c r="H276" s="16"/>
      <c r="I276" s="16"/>
      <c r="J276" s="16"/>
      <c r="K276" s="16"/>
      <c r="L276" s="37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38"/>
      <c r="Z276" s="34"/>
      <c r="AA276" s="18"/>
    </row>
    <row r="277" ht="21.0" customHeight="1">
      <c r="A277" s="18"/>
      <c r="B277" s="33"/>
      <c r="C277" s="34"/>
      <c r="D277" s="33"/>
      <c r="E277" s="18"/>
      <c r="F277" s="16"/>
      <c r="G277" s="16"/>
      <c r="H277" s="16"/>
      <c r="I277" s="16"/>
      <c r="J277" s="16"/>
      <c r="K277" s="16"/>
      <c r="L277" s="37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38"/>
      <c r="Z277" s="34"/>
      <c r="AA277" s="18"/>
    </row>
    <row r="278" ht="21.0" customHeight="1">
      <c r="A278" s="18"/>
      <c r="B278" s="33"/>
      <c r="C278" s="34"/>
      <c r="D278" s="33"/>
      <c r="E278" s="18"/>
      <c r="F278" s="16"/>
      <c r="G278" s="16"/>
      <c r="H278" s="16"/>
      <c r="I278" s="16"/>
      <c r="J278" s="16"/>
      <c r="K278" s="16"/>
      <c r="L278" s="37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38"/>
      <c r="Z278" s="34"/>
      <c r="AA278" s="18"/>
    </row>
    <row r="279" ht="21.0" customHeight="1">
      <c r="A279" s="18"/>
      <c r="B279" s="33"/>
      <c r="C279" s="34"/>
      <c r="D279" s="33"/>
      <c r="E279" s="18"/>
      <c r="F279" s="16"/>
      <c r="G279" s="16"/>
      <c r="H279" s="16"/>
      <c r="I279" s="16"/>
      <c r="J279" s="16"/>
      <c r="K279" s="16"/>
      <c r="L279" s="37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38"/>
      <c r="Z279" s="34"/>
      <c r="AA279" s="18"/>
    </row>
    <row r="280" ht="21.0" customHeight="1">
      <c r="A280" s="18"/>
      <c r="B280" s="33"/>
      <c r="C280" s="34"/>
      <c r="D280" s="33"/>
      <c r="E280" s="18"/>
      <c r="F280" s="16"/>
      <c r="G280" s="16"/>
      <c r="H280" s="16"/>
      <c r="I280" s="16"/>
      <c r="J280" s="16"/>
      <c r="K280" s="16"/>
      <c r="L280" s="37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38"/>
      <c r="Z280" s="34"/>
      <c r="AA280" s="18"/>
    </row>
    <row r="281" ht="21.0" customHeight="1">
      <c r="A281" s="18"/>
      <c r="B281" s="33"/>
      <c r="C281" s="34"/>
      <c r="D281" s="33"/>
      <c r="E281" s="18"/>
      <c r="F281" s="16"/>
      <c r="G281" s="16"/>
      <c r="H281" s="16"/>
      <c r="I281" s="16"/>
      <c r="J281" s="16"/>
      <c r="K281" s="16"/>
      <c r="L281" s="37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38"/>
      <c r="Z281" s="34"/>
      <c r="AA281" s="18"/>
    </row>
    <row r="282" ht="21.0" customHeight="1">
      <c r="A282" s="18"/>
      <c r="B282" s="33"/>
      <c r="C282" s="34"/>
      <c r="D282" s="33"/>
      <c r="E282" s="18"/>
      <c r="F282" s="16"/>
      <c r="G282" s="16"/>
      <c r="H282" s="16"/>
      <c r="I282" s="16"/>
      <c r="J282" s="16"/>
      <c r="K282" s="16"/>
      <c r="L282" s="37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38"/>
      <c r="Z282" s="34"/>
      <c r="AA282" s="18"/>
    </row>
    <row r="283" ht="21.0" customHeight="1">
      <c r="A283" s="18"/>
      <c r="B283" s="33"/>
      <c r="C283" s="34"/>
      <c r="D283" s="33"/>
      <c r="E283" s="18"/>
      <c r="F283" s="16"/>
      <c r="G283" s="16"/>
      <c r="H283" s="16"/>
      <c r="I283" s="16"/>
      <c r="J283" s="16"/>
      <c r="K283" s="16"/>
      <c r="L283" s="37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38"/>
      <c r="Z283" s="34"/>
      <c r="AA283" s="18"/>
    </row>
    <row r="284" ht="21.0" customHeight="1">
      <c r="A284" s="18"/>
      <c r="B284" s="33"/>
      <c r="C284" s="34"/>
      <c r="D284" s="33"/>
      <c r="E284" s="18"/>
      <c r="F284" s="16"/>
      <c r="G284" s="16"/>
      <c r="H284" s="16"/>
      <c r="I284" s="16"/>
      <c r="J284" s="16"/>
      <c r="K284" s="16"/>
      <c r="L284" s="37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38"/>
      <c r="Z284" s="34"/>
      <c r="AA284" s="18"/>
    </row>
    <row r="285" ht="21.0" customHeight="1">
      <c r="A285" s="18"/>
      <c r="B285" s="33"/>
      <c r="C285" s="34"/>
      <c r="D285" s="33"/>
      <c r="E285" s="18"/>
      <c r="F285" s="16"/>
      <c r="G285" s="16"/>
      <c r="H285" s="16"/>
      <c r="I285" s="16"/>
      <c r="J285" s="16"/>
      <c r="K285" s="16"/>
      <c r="L285" s="37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38"/>
      <c r="Z285" s="34"/>
      <c r="AA285" s="18"/>
    </row>
    <row r="286" ht="21.0" customHeight="1">
      <c r="A286" s="18"/>
      <c r="B286" s="33"/>
      <c r="C286" s="34"/>
      <c r="D286" s="33"/>
      <c r="E286" s="18"/>
      <c r="F286" s="16"/>
      <c r="G286" s="16"/>
      <c r="H286" s="16"/>
      <c r="I286" s="16"/>
      <c r="J286" s="16"/>
      <c r="K286" s="16"/>
      <c r="L286" s="37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38"/>
      <c r="Z286" s="34"/>
      <c r="AA286" s="18"/>
    </row>
    <row r="287" ht="21.0" customHeight="1">
      <c r="A287" s="18"/>
      <c r="B287" s="33"/>
      <c r="C287" s="34"/>
      <c r="D287" s="33"/>
      <c r="E287" s="18"/>
      <c r="F287" s="16"/>
      <c r="G287" s="16"/>
      <c r="H287" s="16"/>
      <c r="I287" s="16"/>
      <c r="J287" s="16"/>
      <c r="K287" s="16"/>
      <c r="L287" s="37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38"/>
      <c r="Z287" s="34"/>
      <c r="AA287" s="18"/>
    </row>
    <row r="288" ht="21.0" customHeight="1">
      <c r="A288" s="18"/>
      <c r="B288" s="33"/>
      <c r="C288" s="34"/>
      <c r="D288" s="33"/>
      <c r="E288" s="18"/>
      <c r="F288" s="16"/>
      <c r="G288" s="16"/>
      <c r="H288" s="16"/>
      <c r="I288" s="16"/>
      <c r="J288" s="16"/>
      <c r="K288" s="16"/>
      <c r="L288" s="37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38"/>
      <c r="Z288" s="34"/>
      <c r="AA288" s="18"/>
    </row>
    <row r="289" ht="21.0" customHeight="1">
      <c r="A289" s="18"/>
      <c r="B289" s="33"/>
      <c r="C289" s="34"/>
      <c r="D289" s="33"/>
      <c r="E289" s="18"/>
      <c r="F289" s="16"/>
      <c r="G289" s="16"/>
      <c r="H289" s="16"/>
      <c r="I289" s="16"/>
      <c r="J289" s="16"/>
      <c r="K289" s="16"/>
      <c r="L289" s="37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38"/>
      <c r="Z289" s="34"/>
      <c r="AA289" s="18"/>
    </row>
    <row r="290" ht="21.0" customHeight="1">
      <c r="A290" s="18"/>
      <c r="B290" s="33"/>
      <c r="C290" s="34"/>
      <c r="D290" s="33"/>
      <c r="E290" s="18"/>
      <c r="F290" s="16"/>
      <c r="G290" s="16"/>
      <c r="H290" s="16"/>
      <c r="I290" s="16"/>
      <c r="J290" s="16"/>
      <c r="K290" s="16"/>
      <c r="L290" s="37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38"/>
      <c r="Z290" s="34"/>
      <c r="AA290" s="18"/>
    </row>
    <row r="291" ht="21.0" customHeight="1">
      <c r="A291" s="18"/>
      <c r="B291" s="33"/>
      <c r="C291" s="34"/>
      <c r="D291" s="33"/>
      <c r="E291" s="18"/>
      <c r="F291" s="16"/>
      <c r="G291" s="16"/>
      <c r="H291" s="16"/>
      <c r="I291" s="16"/>
      <c r="J291" s="16"/>
      <c r="K291" s="16"/>
      <c r="L291" s="37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38"/>
      <c r="Z291" s="34"/>
      <c r="AA291" s="18"/>
    </row>
    <row r="292" ht="21.0" customHeight="1">
      <c r="A292" s="18"/>
      <c r="B292" s="33"/>
      <c r="C292" s="34"/>
      <c r="D292" s="33"/>
      <c r="E292" s="18"/>
      <c r="F292" s="16"/>
      <c r="G292" s="16"/>
      <c r="H292" s="16"/>
      <c r="I292" s="16"/>
      <c r="J292" s="16"/>
      <c r="K292" s="16"/>
      <c r="L292" s="37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38"/>
      <c r="Z292" s="34"/>
      <c r="AA292" s="18"/>
    </row>
    <row r="293" ht="21.0" customHeight="1">
      <c r="A293" s="18"/>
      <c r="B293" s="33"/>
      <c r="C293" s="34"/>
      <c r="D293" s="33"/>
      <c r="E293" s="18"/>
      <c r="F293" s="16"/>
      <c r="G293" s="16"/>
      <c r="H293" s="16"/>
      <c r="I293" s="16"/>
      <c r="J293" s="16"/>
      <c r="K293" s="16"/>
      <c r="L293" s="37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38"/>
      <c r="Z293" s="34"/>
      <c r="AA293" s="18"/>
    </row>
    <row r="294" ht="21.0" customHeight="1">
      <c r="A294" s="18"/>
      <c r="B294" s="33"/>
      <c r="C294" s="34"/>
      <c r="D294" s="33"/>
      <c r="E294" s="18"/>
      <c r="F294" s="16"/>
      <c r="G294" s="16"/>
      <c r="H294" s="16"/>
      <c r="I294" s="16"/>
      <c r="J294" s="16"/>
      <c r="K294" s="16"/>
      <c r="L294" s="37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38"/>
      <c r="Z294" s="34"/>
      <c r="AA294" s="18"/>
    </row>
    <row r="295" ht="21.0" customHeight="1">
      <c r="A295" s="18"/>
      <c r="B295" s="33"/>
      <c r="C295" s="34"/>
      <c r="D295" s="33"/>
      <c r="E295" s="18"/>
      <c r="F295" s="16"/>
      <c r="G295" s="16"/>
      <c r="H295" s="16"/>
      <c r="I295" s="16"/>
      <c r="J295" s="16"/>
      <c r="K295" s="16"/>
      <c r="L295" s="37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38"/>
      <c r="Z295" s="34"/>
      <c r="AA295" s="18"/>
    </row>
    <row r="296" ht="21.0" customHeight="1">
      <c r="A296" s="18"/>
      <c r="B296" s="33"/>
      <c r="C296" s="34"/>
      <c r="D296" s="33"/>
      <c r="E296" s="18"/>
      <c r="F296" s="16"/>
      <c r="G296" s="16"/>
      <c r="H296" s="16"/>
      <c r="I296" s="16"/>
      <c r="J296" s="16"/>
      <c r="K296" s="16"/>
      <c r="L296" s="37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38"/>
      <c r="Z296" s="34"/>
      <c r="AA296" s="18"/>
    </row>
    <row r="297" ht="21.0" customHeight="1">
      <c r="A297" s="18"/>
      <c r="B297" s="33"/>
      <c r="C297" s="34"/>
      <c r="D297" s="33"/>
      <c r="E297" s="18"/>
      <c r="F297" s="16"/>
      <c r="G297" s="16"/>
      <c r="H297" s="16"/>
      <c r="I297" s="16"/>
      <c r="J297" s="16"/>
      <c r="K297" s="16"/>
      <c r="L297" s="37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38"/>
      <c r="Z297" s="34"/>
      <c r="AA297" s="18"/>
    </row>
    <row r="298" ht="21.0" customHeight="1">
      <c r="A298" s="18"/>
      <c r="B298" s="33"/>
      <c r="C298" s="34"/>
      <c r="D298" s="33"/>
      <c r="E298" s="18"/>
      <c r="F298" s="16"/>
      <c r="G298" s="16"/>
      <c r="H298" s="16"/>
      <c r="I298" s="16"/>
      <c r="J298" s="16"/>
      <c r="K298" s="16"/>
      <c r="L298" s="37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38"/>
      <c r="Z298" s="34"/>
      <c r="AA298" s="18"/>
    </row>
    <row r="299" ht="21.0" customHeight="1">
      <c r="A299" s="18"/>
      <c r="B299" s="33"/>
      <c r="C299" s="34"/>
      <c r="D299" s="33"/>
      <c r="E299" s="18"/>
      <c r="F299" s="16"/>
      <c r="G299" s="16"/>
      <c r="H299" s="16"/>
      <c r="I299" s="16"/>
      <c r="J299" s="16"/>
      <c r="K299" s="16"/>
      <c r="L299" s="37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38"/>
      <c r="Z299" s="34"/>
      <c r="AA299" s="18"/>
    </row>
    <row r="300" ht="21.0" customHeight="1">
      <c r="A300" s="18"/>
      <c r="B300" s="33"/>
      <c r="C300" s="34"/>
      <c r="D300" s="33"/>
      <c r="E300" s="18"/>
      <c r="F300" s="16"/>
      <c r="G300" s="16"/>
      <c r="H300" s="16"/>
      <c r="I300" s="16"/>
      <c r="J300" s="16"/>
      <c r="K300" s="16"/>
      <c r="L300" s="37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38"/>
      <c r="Z300" s="34"/>
      <c r="AA300" s="18"/>
    </row>
    <row r="301" ht="21.0" customHeight="1">
      <c r="A301" s="18"/>
      <c r="B301" s="33"/>
      <c r="C301" s="34"/>
      <c r="D301" s="33"/>
      <c r="E301" s="18"/>
      <c r="F301" s="16"/>
      <c r="G301" s="16"/>
      <c r="H301" s="16"/>
      <c r="I301" s="16"/>
      <c r="J301" s="16"/>
      <c r="K301" s="16"/>
      <c r="L301" s="37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38"/>
      <c r="Z301" s="34"/>
      <c r="AA301" s="18"/>
    </row>
    <row r="302" ht="21.0" customHeight="1">
      <c r="A302" s="18"/>
      <c r="B302" s="33"/>
      <c r="C302" s="34"/>
      <c r="D302" s="33"/>
      <c r="E302" s="18"/>
      <c r="F302" s="16"/>
      <c r="G302" s="16"/>
      <c r="H302" s="16"/>
      <c r="I302" s="16"/>
      <c r="J302" s="16"/>
      <c r="K302" s="16"/>
      <c r="L302" s="37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38"/>
      <c r="Z302" s="34"/>
      <c r="AA302" s="18"/>
    </row>
    <row r="303" ht="21.0" customHeight="1">
      <c r="A303" s="18"/>
      <c r="B303" s="33"/>
      <c r="C303" s="34"/>
      <c r="D303" s="33"/>
      <c r="E303" s="18"/>
      <c r="F303" s="16"/>
      <c r="G303" s="16"/>
      <c r="H303" s="16"/>
      <c r="I303" s="16"/>
      <c r="J303" s="16"/>
      <c r="K303" s="16"/>
      <c r="L303" s="37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38"/>
      <c r="Z303" s="34"/>
      <c r="AA303" s="18"/>
    </row>
    <row r="304" ht="21.0" customHeight="1">
      <c r="A304" s="18"/>
      <c r="B304" s="33"/>
      <c r="C304" s="34"/>
      <c r="D304" s="33"/>
      <c r="E304" s="18"/>
      <c r="F304" s="16"/>
      <c r="G304" s="16"/>
      <c r="H304" s="16"/>
      <c r="I304" s="16"/>
      <c r="J304" s="16"/>
      <c r="K304" s="16"/>
      <c r="L304" s="37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38"/>
      <c r="Z304" s="34"/>
      <c r="AA304" s="18"/>
    </row>
    <row r="305" ht="21.0" customHeight="1">
      <c r="A305" s="18"/>
      <c r="B305" s="33"/>
      <c r="C305" s="34"/>
      <c r="D305" s="33"/>
      <c r="E305" s="18"/>
      <c r="F305" s="16"/>
      <c r="G305" s="16"/>
      <c r="H305" s="16"/>
      <c r="I305" s="16"/>
      <c r="J305" s="16"/>
      <c r="K305" s="16"/>
      <c r="L305" s="37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38"/>
      <c r="Z305" s="34"/>
      <c r="AA305" s="18"/>
    </row>
    <row r="306" ht="21.0" customHeight="1">
      <c r="A306" s="18"/>
      <c r="B306" s="33"/>
      <c r="C306" s="34"/>
      <c r="D306" s="33"/>
      <c r="E306" s="18"/>
      <c r="F306" s="16"/>
      <c r="G306" s="16"/>
      <c r="H306" s="16"/>
      <c r="I306" s="16"/>
      <c r="J306" s="16"/>
      <c r="K306" s="16"/>
      <c r="L306" s="37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38"/>
      <c r="Z306" s="34"/>
      <c r="AA306" s="18"/>
    </row>
    <row r="307" ht="21.0" customHeight="1">
      <c r="A307" s="18"/>
      <c r="B307" s="33"/>
      <c r="C307" s="34"/>
      <c r="D307" s="33"/>
      <c r="E307" s="18"/>
      <c r="F307" s="16"/>
      <c r="G307" s="16"/>
      <c r="H307" s="16"/>
      <c r="I307" s="16"/>
      <c r="J307" s="16"/>
      <c r="K307" s="16"/>
      <c r="L307" s="37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38"/>
      <c r="Z307" s="34"/>
      <c r="AA307" s="18"/>
    </row>
    <row r="308" ht="21.0" customHeight="1">
      <c r="A308" s="18"/>
      <c r="B308" s="33"/>
      <c r="C308" s="34"/>
      <c r="D308" s="33"/>
      <c r="E308" s="18"/>
      <c r="F308" s="16"/>
      <c r="G308" s="16"/>
      <c r="H308" s="16"/>
      <c r="I308" s="16"/>
      <c r="J308" s="16"/>
      <c r="K308" s="16"/>
      <c r="L308" s="37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38"/>
      <c r="Z308" s="34"/>
      <c r="AA308" s="18"/>
    </row>
    <row r="309" ht="21.0" customHeight="1">
      <c r="A309" s="18"/>
      <c r="B309" s="33"/>
      <c r="C309" s="34"/>
      <c r="D309" s="33"/>
      <c r="E309" s="18"/>
      <c r="F309" s="16"/>
      <c r="G309" s="16"/>
      <c r="H309" s="16"/>
      <c r="I309" s="16"/>
      <c r="J309" s="16"/>
      <c r="K309" s="16"/>
      <c r="L309" s="37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38"/>
      <c r="Z309" s="34"/>
      <c r="AA309" s="18"/>
    </row>
    <row r="310" ht="21.0" customHeight="1">
      <c r="A310" s="18"/>
      <c r="B310" s="33"/>
      <c r="C310" s="34"/>
      <c r="D310" s="33"/>
      <c r="E310" s="18"/>
      <c r="F310" s="16"/>
      <c r="G310" s="16"/>
      <c r="H310" s="16"/>
      <c r="I310" s="16"/>
      <c r="J310" s="16"/>
      <c r="K310" s="16"/>
      <c r="L310" s="37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38"/>
      <c r="Z310" s="34"/>
      <c r="AA310" s="18"/>
    </row>
    <row r="311" ht="21.0" customHeight="1">
      <c r="A311" s="18"/>
      <c r="B311" s="33"/>
      <c r="C311" s="34"/>
      <c r="D311" s="33"/>
      <c r="E311" s="18"/>
      <c r="F311" s="16"/>
      <c r="G311" s="16"/>
      <c r="H311" s="16"/>
      <c r="I311" s="16"/>
      <c r="J311" s="16"/>
      <c r="K311" s="16"/>
      <c r="L311" s="37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38"/>
      <c r="Z311" s="34"/>
      <c r="AA311" s="18"/>
    </row>
    <row r="312" ht="21.0" customHeight="1">
      <c r="A312" s="18"/>
      <c r="B312" s="33"/>
      <c r="C312" s="34"/>
      <c r="D312" s="33"/>
      <c r="E312" s="18"/>
      <c r="F312" s="16"/>
      <c r="G312" s="16"/>
      <c r="H312" s="16"/>
      <c r="I312" s="16"/>
      <c r="J312" s="16"/>
      <c r="K312" s="16"/>
      <c r="L312" s="37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38"/>
      <c r="Z312" s="34"/>
      <c r="AA312" s="18"/>
    </row>
    <row r="313" ht="21.0" customHeight="1">
      <c r="A313" s="18"/>
      <c r="B313" s="33"/>
      <c r="C313" s="34"/>
      <c r="D313" s="33"/>
      <c r="E313" s="18"/>
      <c r="F313" s="16"/>
      <c r="G313" s="16"/>
      <c r="H313" s="16"/>
      <c r="I313" s="16"/>
      <c r="J313" s="16"/>
      <c r="K313" s="16"/>
      <c r="L313" s="37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38"/>
      <c r="Z313" s="34"/>
      <c r="AA313" s="18"/>
    </row>
    <row r="314" ht="21.0" customHeight="1">
      <c r="A314" s="18"/>
      <c r="B314" s="33"/>
      <c r="C314" s="34"/>
      <c r="D314" s="33"/>
      <c r="E314" s="18"/>
      <c r="F314" s="16"/>
      <c r="G314" s="16"/>
      <c r="H314" s="16"/>
      <c r="I314" s="16"/>
      <c r="J314" s="16"/>
      <c r="K314" s="16"/>
      <c r="L314" s="37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38"/>
      <c r="Z314" s="34"/>
      <c r="AA314" s="18"/>
    </row>
    <row r="315" ht="21.0" customHeight="1">
      <c r="A315" s="18"/>
      <c r="B315" s="33"/>
      <c r="C315" s="34"/>
      <c r="D315" s="33"/>
      <c r="E315" s="18"/>
      <c r="F315" s="16"/>
      <c r="G315" s="16"/>
      <c r="H315" s="16"/>
      <c r="I315" s="16"/>
      <c r="J315" s="16"/>
      <c r="K315" s="16"/>
      <c r="L315" s="37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38"/>
      <c r="Z315" s="34"/>
      <c r="AA315" s="18"/>
    </row>
    <row r="316" ht="21.0" customHeight="1">
      <c r="A316" s="18"/>
      <c r="B316" s="33"/>
      <c r="C316" s="34"/>
      <c r="D316" s="33"/>
      <c r="E316" s="18"/>
      <c r="F316" s="16"/>
      <c r="G316" s="16"/>
      <c r="H316" s="16"/>
      <c r="I316" s="16"/>
      <c r="J316" s="16"/>
      <c r="K316" s="16"/>
      <c r="L316" s="37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38"/>
      <c r="Z316" s="34"/>
      <c r="AA316" s="18"/>
    </row>
    <row r="317" ht="21.0" customHeight="1">
      <c r="A317" s="18"/>
      <c r="B317" s="33"/>
      <c r="C317" s="34"/>
      <c r="D317" s="33"/>
      <c r="E317" s="18"/>
      <c r="F317" s="16"/>
      <c r="G317" s="16"/>
      <c r="H317" s="16"/>
      <c r="I317" s="16"/>
      <c r="J317" s="16"/>
      <c r="K317" s="16"/>
      <c r="L317" s="37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38"/>
      <c r="Z317" s="34"/>
      <c r="AA317" s="18"/>
    </row>
    <row r="318" ht="21.0" customHeight="1">
      <c r="A318" s="18"/>
      <c r="B318" s="33"/>
      <c r="C318" s="34"/>
      <c r="D318" s="33"/>
      <c r="E318" s="18"/>
      <c r="F318" s="16"/>
      <c r="G318" s="16"/>
      <c r="H318" s="16"/>
      <c r="I318" s="16"/>
      <c r="J318" s="16"/>
      <c r="K318" s="16"/>
      <c r="L318" s="37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38"/>
      <c r="Z318" s="34"/>
      <c r="AA318" s="18"/>
    </row>
    <row r="319" ht="21.0" customHeight="1">
      <c r="A319" s="18"/>
      <c r="B319" s="33"/>
      <c r="C319" s="34"/>
      <c r="D319" s="33"/>
      <c r="E319" s="18"/>
      <c r="F319" s="16"/>
      <c r="G319" s="16"/>
      <c r="H319" s="16"/>
      <c r="I319" s="16"/>
      <c r="J319" s="16"/>
      <c r="K319" s="16"/>
      <c r="L319" s="37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38"/>
      <c r="Z319" s="34"/>
      <c r="AA319" s="18"/>
    </row>
    <row r="320" ht="21.0" customHeight="1">
      <c r="A320" s="18"/>
      <c r="B320" s="33"/>
      <c r="C320" s="34"/>
      <c r="D320" s="33"/>
      <c r="E320" s="18"/>
      <c r="F320" s="16"/>
      <c r="G320" s="16"/>
      <c r="H320" s="16"/>
      <c r="I320" s="16"/>
      <c r="J320" s="16"/>
      <c r="K320" s="16"/>
      <c r="L320" s="37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38"/>
      <c r="Z320" s="34"/>
      <c r="AA320" s="18"/>
    </row>
    <row r="321" ht="21.0" customHeight="1">
      <c r="A321" s="18"/>
      <c r="B321" s="33"/>
      <c r="C321" s="34"/>
      <c r="D321" s="33"/>
      <c r="E321" s="18"/>
      <c r="F321" s="16"/>
      <c r="G321" s="16"/>
      <c r="H321" s="16"/>
      <c r="I321" s="16"/>
      <c r="J321" s="16"/>
      <c r="K321" s="16"/>
      <c r="L321" s="37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38"/>
      <c r="Z321" s="34"/>
      <c r="AA321" s="18"/>
    </row>
    <row r="322" ht="21.0" customHeight="1">
      <c r="A322" s="18"/>
      <c r="B322" s="33"/>
      <c r="C322" s="34"/>
      <c r="D322" s="33"/>
      <c r="E322" s="18"/>
      <c r="F322" s="16"/>
      <c r="G322" s="16"/>
      <c r="H322" s="16"/>
      <c r="I322" s="16"/>
      <c r="J322" s="16"/>
      <c r="K322" s="16"/>
      <c r="L322" s="37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38"/>
      <c r="Z322" s="34"/>
      <c r="AA322" s="18"/>
    </row>
    <row r="323" ht="21.0" customHeight="1">
      <c r="A323" s="18"/>
      <c r="B323" s="33"/>
      <c r="C323" s="34"/>
      <c r="D323" s="33"/>
      <c r="E323" s="18"/>
      <c r="F323" s="16"/>
      <c r="G323" s="16"/>
      <c r="H323" s="16"/>
      <c r="I323" s="16"/>
      <c r="J323" s="16"/>
      <c r="K323" s="16"/>
      <c r="L323" s="37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38"/>
      <c r="Z323" s="34"/>
      <c r="AA323" s="18"/>
    </row>
    <row r="324" ht="21.0" customHeight="1">
      <c r="A324" s="18"/>
      <c r="B324" s="33"/>
      <c r="C324" s="34"/>
      <c r="D324" s="33"/>
      <c r="E324" s="18"/>
      <c r="F324" s="16"/>
      <c r="G324" s="16"/>
      <c r="H324" s="16"/>
      <c r="I324" s="16"/>
      <c r="J324" s="16"/>
      <c r="K324" s="16"/>
      <c r="L324" s="37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38"/>
      <c r="Z324" s="34"/>
      <c r="AA324" s="18"/>
    </row>
    <row r="325" ht="21.0" customHeight="1">
      <c r="A325" s="18"/>
      <c r="B325" s="33"/>
      <c r="C325" s="34"/>
      <c r="D325" s="33"/>
      <c r="E325" s="18"/>
      <c r="F325" s="16"/>
      <c r="G325" s="16"/>
      <c r="H325" s="16"/>
      <c r="I325" s="16"/>
      <c r="J325" s="16"/>
      <c r="K325" s="16"/>
      <c r="L325" s="37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38"/>
      <c r="Z325" s="34"/>
      <c r="AA325" s="18"/>
    </row>
    <row r="326" ht="21.0" customHeight="1">
      <c r="A326" s="18"/>
      <c r="B326" s="33"/>
      <c r="C326" s="34"/>
      <c r="D326" s="33"/>
      <c r="E326" s="18"/>
      <c r="F326" s="16"/>
      <c r="G326" s="16"/>
      <c r="H326" s="16"/>
      <c r="I326" s="16"/>
      <c r="J326" s="16"/>
      <c r="K326" s="16"/>
      <c r="L326" s="37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38"/>
      <c r="Z326" s="34"/>
      <c r="AA326" s="18"/>
    </row>
    <row r="327" ht="21.0" customHeight="1">
      <c r="A327" s="18"/>
      <c r="B327" s="33"/>
      <c r="C327" s="34"/>
      <c r="D327" s="33"/>
      <c r="E327" s="18"/>
      <c r="F327" s="16"/>
      <c r="G327" s="16"/>
      <c r="H327" s="16"/>
      <c r="I327" s="16"/>
      <c r="J327" s="16"/>
      <c r="K327" s="16"/>
      <c r="L327" s="37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38"/>
      <c r="Z327" s="34"/>
      <c r="AA327" s="18"/>
    </row>
    <row r="328" ht="21.0" customHeight="1">
      <c r="A328" s="18"/>
      <c r="B328" s="33"/>
      <c r="C328" s="34"/>
      <c r="D328" s="33"/>
      <c r="E328" s="18"/>
      <c r="F328" s="16"/>
      <c r="G328" s="16"/>
      <c r="H328" s="16"/>
      <c r="I328" s="16"/>
      <c r="J328" s="16"/>
      <c r="K328" s="16"/>
      <c r="L328" s="37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38"/>
      <c r="Z328" s="34"/>
      <c r="AA328" s="18"/>
    </row>
    <row r="329" ht="21.0" customHeight="1">
      <c r="A329" s="18"/>
      <c r="B329" s="33"/>
      <c r="C329" s="34"/>
      <c r="D329" s="33"/>
      <c r="E329" s="18"/>
      <c r="F329" s="16"/>
      <c r="G329" s="16"/>
      <c r="H329" s="16"/>
      <c r="I329" s="16"/>
      <c r="J329" s="16"/>
      <c r="K329" s="16"/>
      <c r="L329" s="37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38"/>
      <c r="Z329" s="34"/>
      <c r="AA329" s="18"/>
    </row>
    <row r="330" ht="21.0" customHeight="1">
      <c r="A330" s="18"/>
      <c r="B330" s="33"/>
      <c r="C330" s="34"/>
      <c r="D330" s="33"/>
      <c r="E330" s="18"/>
      <c r="F330" s="16"/>
      <c r="G330" s="16"/>
      <c r="H330" s="16"/>
      <c r="I330" s="16"/>
      <c r="J330" s="16"/>
      <c r="K330" s="16"/>
      <c r="L330" s="37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38"/>
      <c r="Z330" s="34"/>
      <c r="AA330" s="18"/>
    </row>
    <row r="331" ht="21.0" customHeight="1">
      <c r="A331" s="18"/>
      <c r="B331" s="33"/>
      <c r="C331" s="34"/>
      <c r="D331" s="33"/>
      <c r="E331" s="18"/>
      <c r="F331" s="16"/>
      <c r="G331" s="16"/>
      <c r="H331" s="16"/>
      <c r="I331" s="16"/>
      <c r="J331" s="16"/>
      <c r="K331" s="16"/>
      <c r="L331" s="37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38"/>
      <c r="Z331" s="34"/>
      <c r="AA331" s="18"/>
    </row>
    <row r="332" ht="21.0" customHeight="1">
      <c r="A332" s="18"/>
      <c r="B332" s="33"/>
      <c r="C332" s="34"/>
      <c r="D332" s="33"/>
      <c r="E332" s="18"/>
      <c r="F332" s="16"/>
      <c r="G332" s="16"/>
      <c r="H332" s="16"/>
      <c r="I332" s="16"/>
      <c r="J332" s="16"/>
      <c r="K332" s="16"/>
      <c r="L332" s="37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38"/>
      <c r="Z332" s="34"/>
      <c r="AA332" s="18"/>
    </row>
    <row r="333" ht="21.0" customHeight="1">
      <c r="A333" s="18"/>
      <c r="B333" s="33"/>
      <c r="C333" s="34"/>
      <c r="D333" s="33"/>
      <c r="E333" s="18"/>
      <c r="F333" s="16"/>
      <c r="G333" s="16"/>
      <c r="H333" s="16"/>
      <c r="I333" s="16"/>
      <c r="J333" s="16"/>
      <c r="K333" s="16"/>
      <c r="L333" s="37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38"/>
      <c r="Z333" s="34"/>
      <c r="AA333" s="18"/>
    </row>
    <row r="334" ht="21.0" customHeight="1">
      <c r="A334" s="18"/>
      <c r="B334" s="33"/>
      <c r="C334" s="34"/>
      <c r="D334" s="33"/>
      <c r="E334" s="18"/>
      <c r="F334" s="16"/>
      <c r="G334" s="16"/>
      <c r="H334" s="16"/>
      <c r="I334" s="16"/>
      <c r="J334" s="16"/>
      <c r="K334" s="16"/>
      <c r="L334" s="37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38"/>
      <c r="Z334" s="34"/>
      <c r="AA334" s="18"/>
    </row>
    <row r="335" ht="21.0" customHeight="1">
      <c r="A335" s="18"/>
      <c r="B335" s="33"/>
      <c r="C335" s="34"/>
      <c r="D335" s="33"/>
      <c r="E335" s="18"/>
      <c r="F335" s="16"/>
      <c r="G335" s="16"/>
      <c r="H335" s="16"/>
      <c r="I335" s="16"/>
      <c r="J335" s="16"/>
      <c r="K335" s="16"/>
      <c r="L335" s="37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38"/>
      <c r="Z335" s="34"/>
      <c r="AA335" s="18"/>
    </row>
    <row r="336" ht="21.0" customHeight="1">
      <c r="A336" s="18"/>
      <c r="B336" s="33"/>
      <c r="C336" s="34"/>
      <c r="D336" s="33"/>
      <c r="E336" s="18"/>
      <c r="F336" s="16"/>
      <c r="G336" s="16"/>
      <c r="H336" s="16"/>
      <c r="I336" s="16"/>
      <c r="J336" s="16"/>
      <c r="K336" s="16"/>
      <c r="L336" s="37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38"/>
      <c r="Z336" s="34"/>
      <c r="AA336" s="18"/>
    </row>
    <row r="337" ht="21.0" customHeight="1">
      <c r="A337" s="18"/>
      <c r="B337" s="33"/>
      <c r="C337" s="34"/>
      <c r="D337" s="33"/>
      <c r="E337" s="18"/>
      <c r="F337" s="16"/>
      <c r="G337" s="16"/>
      <c r="H337" s="16"/>
      <c r="I337" s="16"/>
      <c r="J337" s="16"/>
      <c r="K337" s="16"/>
      <c r="L337" s="37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38"/>
      <c r="Z337" s="34"/>
      <c r="AA337" s="18"/>
    </row>
    <row r="338" ht="21.0" customHeight="1">
      <c r="A338" s="18"/>
      <c r="B338" s="33"/>
      <c r="C338" s="34"/>
      <c r="D338" s="33"/>
      <c r="E338" s="18"/>
      <c r="F338" s="16"/>
      <c r="G338" s="16"/>
      <c r="H338" s="16"/>
      <c r="I338" s="16"/>
      <c r="J338" s="16"/>
      <c r="K338" s="16"/>
      <c r="L338" s="37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38"/>
      <c r="Z338" s="34"/>
      <c r="AA338" s="18"/>
    </row>
    <row r="339" ht="21.0" customHeight="1">
      <c r="A339" s="18"/>
      <c r="B339" s="33"/>
      <c r="C339" s="34"/>
      <c r="D339" s="33"/>
      <c r="E339" s="18"/>
      <c r="F339" s="16"/>
      <c r="G339" s="16"/>
      <c r="H339" s="16"/>
      <c r="I339" s="16"/>
      <c r="J339" s="16"/>
      <c r="K339" s="16"/>
      <c r="L339" s="37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38"/>
      <c r="Z339" s="34"/>
      <c r="AA339" s="18"/>
    </row>
    <row r="340" ht="21.0" customHeight="1">
      <c r="A340" s="18"/>
      <c r="B340" s="33"/>
      <c r="C340" s="34"/>
      <c r="D340" s="33"/>
      <c r="E340" s="18"/>
      <c r="F340" s="16"/>
      <c r="G340" s="16"/>
      <c r="H340" s="16"/>
      <c r="I340" s="16"/>
      <c r="J340" s="16"/>
      <c r="K340" s="16"/>
      <c r="L340" s="37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38"/>
      <c r="Z340" s="34"/>
      <c r="AA340" s="18"/>
    </row>
    <row r="341" ht="21.0" customHeight="1">
      <c r="A341" s="18"/>
      <c r="B341" s="33"/>
      <c r="C341" s="34"/>
      <c r="D341" s="33"/>
      <c r="E341" s="18"/>
      <c r="F341" s="16"/>
      <c r="G341" s="16"/>
      <c r="H341" s="16"/>
      <c r="I341" s="16"/>
      <c r="J341" s="16"/>
      <c r="K341" s="16"/>
      <c r="L341" s="37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38"/>
      <c r="Z341" s="34"/>
      <c r="AA341" s="18"/>
    </row>
    <row r="342" ht="21.0" customHeight="1">
      <c r="A342" s="18"/>
      <c r="B342" s="33"/>
      <c r="C342" s="34"/>
      <c r="D342" s="33"/>
      <c r="E342" s="18"/>
      <c r="F342" s="16"/>
      <c r="G342" s="16"/>
      <c r="H342" s="16"/>
      <c r="I342" s="16"/>
      <c r="J342" s="16"/>
      <c r="K342" s="16"/>
      <c r="L342" s="37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38"/>
      <c r="Z342" s="34"/>
      <c r="AA342" s="18"/>
    </row>
    <row r="343" ht="21.0" customHeight="1">
      <c r="A343" s="18"/>
      <c r="B343" s="33"/>
      <c r="C343" s="34"/>
      <c r="D343" s="33"/>
      <c r="E343" s="18"/>
      <c r="F343" s="16"/>
      <c r="G343" s="16"/>
      <c r="H343" s="16"/>
      <c r="I343" s="16"/>
      <c r="J343" s="16"/>
      <c r="K343" s="16"/>
      <c r="L343" s="37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38"/>
      <c r="Z343" s="34"/>
      <c r="AA343" s="18"/>
    </row>
    <row r="344" ht="21.0" customHeight="1">
      <c r="A344" s="18"/>
      <c r="B344" s="33"/>
      <c r="C344" s="34"/>
      <c r="D344" s="33"/>
      <c r="E344" s="18"/>
      <c r="F344" s="16"/>
      <c r="G344" s="16"/>
      <c r="H344" s="16"/>
      <c r="I344" s="16"/>
      <c r="J344" s="16"/>
      <c r="K344" s="16"/>
      <c r="L344" s="37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38"/>
      <c r="Z344" s="34"/>
      <c r="AA344" s="18"/>
    </row>
    <row r="345" ht="21.0" customHeight="1">
      <c r="A345" s="18"/>
      <c r="B345" s="33"/>
      <c r="C345" s="34"/>
      <c r="D345" s="33"/>
      <c r="E345" s="18"/>
      <c r="F345" s="16"/>
      <c r="G345" s="16"/>
      <c r="H345" s="16"/>
      <c r="I345" s="16"/>
      <c r="J345" s="16"/>
      <c r="K345" s="16"/>
      <c r="L345" s="37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38"/>
      <c r="Z345" s="34"/>
      <c r="AA345" s="18"/>
    </row>
    <row r="346" ht="21.0" customHeight="1">
      <c r="A346" s="18"/>
      <c r="B346" s="33"/>
      <c r="C346" s="34"/>
      <c r="D346" s="33"/>
      <c r="E346" s="18"/>
      <c r="F346" s="16"/>
      <c r="G346" s="16"/>
      <c r="H346" s="16"/>
      <c r="I346" s="16"/>
      <c r="J346" s="16"/>
      <c r="K346" s="16"/>
      <c r="L346" s="37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38"/>
      <c r="Z346" s="34"/>
      <c r="AA346" s="18"/>
    </row>
    <row r="347" ht="21.0" customHeight="1">
      <c r="A347" s="18"/>
      <c r="B347" s="33"/>
      <c r="C347" s="34"/>
      <c r="D347" s="33"/>
      <c r="E347" s="18"/>
      <c r="F347" s="16"/>
      <c r="G347" s="16"/>
      <c r="H347" s="16"/>
      <c r="I347" s="16"/>
      <c r="J347" s="16"/>
      <c r="K347" s="16"/>
      <c r="L347" s="37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38"/>
      <c r="Z347" s="34"/>
      <c r="AA347" s="18"/>
    </row>
    <row r="348" ht="21.0" customHeight="1">
      <c r="A348" s="18"/>
      <c r="B348" s="33"/>
      <c r="C348" s="34"/>
      <c r="D348" s="33"/>
      <c r="E348" s="18"/>
      <c r="F348" s="16"/>
      <c r="G348" s="16"/>
      <c r="H348" s="16"/>
      <c r="I348" s="16"/>
      <c r="J348" s="16"/>
      <c r="K348" s="16"/>
      <c r="L348" s="37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38"/>
      <c r="Z348" s="34"/>
      <c r="AA348" s="18"/>
    </row>
    <row r="349" ht="21.0" customHeight="1">
      <c r="A349" s="18"/>
      <c r="B349" s="33"/>
      <c r="C349" s="34"/>
      <c r="D349" s="33"/>
      <c r="E349" s="18"/>
      <c r="F349" s="16"/>
      <c r="G349" s="16"/>
      <c r="H349" s="16"/>
      <c r="I349" s="16"/>
      <c r="J349" s="16"/>
      <c r="K349" s="16"/>
      <c r="L349" s="37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38"/>
      <c r="Z349" s="34"/>
      <c r="AA349" s="18"/>
    </row>
    <row r="350" ht="21.0" customHeight="1">
      <c r="A350" s="18"/>
      <c r="B350" s="33"/>
      <c r="C350" s="34"/>
      <c r="D350" s="33"/>
      <c r="E350" s="18"/>
      <c r="F350" s="16"/>
      <c r="G350" s="16"/>
      <c r="H350" s="16"/>
      <c r="I350" s="16"/>
      <c r="J350" s="16"/>
      <c r="K350" s="16"/>
      <c r="L350" s="37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38"/>
      <c r="Z350" s="34"/>
      <c r="AA350" s="18"/>
    </row>
    <row r="351" ht="21.0" customHeight="1">
      <c r="A351" s="18"/>
      <c r="B351" s="33"/>
      <c r="C351" s="34"/>
      <c r="D351" s="33"/>
      <c r="E351" s="18"/>
      <c r="F351" s="16"/>
      <c r="G351" s="16"/>
      <c r="H351" s="16"/>
      <c r="I351" s="16"/>
      <c r="J351" s="16"/>
      <c r="K351" s="16"/>
      <c r="L351" s="37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38"/>
      <c r="Z351" s="34"/>
      <c r="AA351" s="18"/>
    </row>
    <row r="352" ht="21.0" customHeight="1">
      <c r="A352" s="18"/>
      <c r="B352" s="33"/>
      <c r="C352" s="34"/>
      <c r="D352" s="33"/>
      <c r="E352" s="18"/>
      <c r="F352" s="16"/>
      <c r="G352" s="16"/>
      <c r="H352" s="16"/>
      <c r="I352" s="16"/>
      <c r="J352" s="16"/>
      <c r="K352" s="16"/>
      <c r="L352" s="37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38"/>
      <c r="Z352" s="34"/>
      <c r="AA352" s="18"/>
    </row>
    <row r="353" ht="21.0" customHeight="1">
      <c r="A353" s="18"/>
      <c r="B353" s="33"/>
      <c r="C353" s="34"/>
      <c r="D353" s="33"/>
      <c r="E353" s="18"/>
      <c r="F353" s="16"/>
      <c r="G353" s="16"/>
      <c r="H353" s="16"/>
      <c r="I353" s="16"/>
      <c r="J353" s="16"/>
      <c r="K353" s="16"/>
      <c r="L353" s="37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38"/>
      <c r="Z353" s="34"/>
      <c r="AA353" s="18"/>
    </row>
    <row r="354" ht="21.0" customHeight="1">
      <c r="A354" s="18"/>
      <c r="B354" s="33"/>
      <c r="C354" s="34"/>
      <c r="D354" s="33"/>
      <c r="E354" s="18"/>
      <c r="F354" s="16"/>
      <c r="G354" s="16"/>
      <c r="H354" s="16"/>
      <c r="I354" s="16"/>
      <c r="J354" s="16"/>
      <c r="K354" s="16"/>
      <c r="L354" s="37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38"/>
      <c r="Z354" s="34"/>
      <c r="AA354" s="18"/>
    </row>
    <row r="355" ht="21.0" customHeight="1">
      <c r="A355" s="18"/>
      <c r="B355" s="33"/>
      <c r="C355" s="34"/>
      <c r="D355" s="33"/>
      <c r="E355" s="18"/>
      <c r="F355" s="16"/>
      <c r="G355" s="16"/>
      <c r="H355" s="16"/>
      <c r="I355" s="16"/>
      <c r="J355" s="16"/>
      <c r="K355" s="16"/>
      <c r="L355" s="37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38"/>
      <c r="Z355" s="34"/>
      <c r="AA355" s="18"/>
    </row>
    <row r="356" ht="21.0" customHeight="1">
      <c r="A356" s="18"/>
      <c r="B356" s="33"/>
      <c r="C356" s="34"/>
      <c r="D356" s="33"/>
      <c r="E356" s="18"/>
      <c r="F356" s="16"/>
      <c r="G356" s="16"/>
      <c r="H356" s="16"/>
      <c r="I356" s="16"/>
      <c r="J356" s="16"/>
      <c r="K356" s="16"/>
      <c r="L356" s="37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38"/>
      <c r="Z356" s="34"/>
      <c r="AA356" s="18"/>
    </row>
    <row r="357" ht="21.0" customHeight="1">
      <c r="A357" s="18"/>
      <c r="B357" s="33"/>
      <c r="C357" s="34"/>
      <c r="D357" s="33"/>
      <c r="E357" s="18"/>
      <c r="F357" s="16"/>
      <c r="G357" s="16"/>
      <c r="H357" s="16"/>
      <c r="I357" s="16"/>
      <c r="J357" s="16"/>
      <c r="K357" s="16"/>
      <c r="L357" s="37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38"/>
      <c r="Z357" s="34"/>
      <c r="AA357" s="18"/>
    </row>
    <row r="358" ht="21.0" customHeight="1">
      <c r="A358" s="18"/>
      <c r="B358" s="33"/>
      <c r="C358" s="34"/>
      <c r="D358" s="33"/>
      <c r="E358" s="18"/>
      <c r="F358" s="16"/>
      <c r="G358" s="16"/>
      <c r="H358" s="16"/>
      <c r="I358" s="16"/>
      <c r="J358" s="16"/>
      <c r="K358" s="16"/>
      <c r="L358" s="37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38"/>
      <c r="Z358" s="34"/>
      <c r="AA358" s="18"/>
    </row>
    <row r="359" ht="21.0" customHeight="1">
      <c r="A359" s="18"/>
      <c r="B359" s="33"/>
      <c r="C359" s="34"/>
      <c r="D359" s="33"/>
      <c r="E359" s="18"/>
      <c r="F359" s="16"/>
      <c r="G359" s="16"/>
      <c r="H359" s="16"/>
      <c r="I359" s="16"/>
      <c r="J359" s="16"/>
      <c r="K359" s="16"/>
      <c r="L359" s="37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38"/>
      <c r="Z359" s="34"/>
      <c r="AA359" s="18"/>
    </row>
    <row r="360" ht="21.0" customHeight="1">
      <c r="A360" s="18"/>
      <c r="B360" s="33"/>
      <c r="C360" s="34"/>
      <c r="D360" s="33"/>
      <c r="E360" s="18"/>
      <c r="F360" s="16"/>
      <c r="G360" s="16"/>
      <c r="H360" s="16"/>
      <c r="I360" s="16"/>
      <c r="J360" s="16"/>
      <c r="K360" s="16"/>
      <c r="L360" s="37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38"/>
      <c r="Z360" s="34"/>
      <c r="AA360" s="18"/>
    </row>
    <row r="361" ht="21.0" customHeight="1">
      <c r="A361" s="18"/>
      <c r="B361" s="33"/>
      <c r="C361" s="34"/>
      <c r="D361" s="33"/>
      <c r="E361" s="18"/>
      <c r="F361" s="16"/>
      <c r="G361" s="16"/>
      <c r="H361" s="16"/>
      <c r="I361" s="16"/>
      <c r="J361" s="16"/>
      <c r="K361" s="16"/>
      <c r="L361" s="37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38"/>
      <c r="Z361" s="34"/>
      <c r="AA361" s="18"/>
    </row>
    <row r="362" ht="21.0" customHeight="1">
      <c r="A362" s="18"/>
      <c r="B362" s="33"/>
      <c r="C362" s="34"/>
      <c r="D362" s="33"/>
      <c r="E362" s="18"/>
      <c r="F362" s="16"/>
      <c r="G362" s="16"/>
      <c r="H362" s="16"/>
      <c r="I362" s="16"/>
      <c r="J362" s="16"/>
      <c r="K362" s="16"/>
      <c r="L362" s="37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38"/>
      <c r="Z362" s="34"/>
      <c r="AA362" s="18"/>
    </row>
    <row r="363" ht="21.0" customHeight="1">
      <c r="A363" s="18"/>
      <c r="B363" s="33"/>
      <c r="C363" s="34"/>
      <c r="D363" s="33"/>
      <c r="E363" s="18"/>
      <c r="F363" s="16"/>
      <c r="G363" s="16"/>
      <c r="H363" s="16"/>
      <c r="I363" s="16"/>
      <c r="J363" s="16"/>
      <c r="K363" s="16"/>
      <c r="L363" s="37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38"/>
      <c r="Z363" s="34"/>
      <c r="AA363" s="18"/>
    </row>
    <row r="364" ht="21.0" customHeight="1">
      <c r="A364" s="18"/>
      <c r="B364" s="33"/>
      <c r="C364" s="34"/>
      <c r="D364" s="33"/>
      <c r="E364" s="18"/>
      <c r="F364" s="16"/>
      <c r="G364" s="16"/>
      <c r="H364" s="16"/>
      <c r="I364" s="16"/>
      <c r="J364" s="16"/>
      <c r="K364" s="16"/>
      <c r="L364" s="37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38"/>
      <c r="Z364" s="34"/>
      <c r="AA364" s="18"/>
    </row>
    <row r="365" ht="21.0" customHeight="1">
      <c r="A365" s="18"/>
      <c r="B365" s="33"/>
      <c r="C365" s="34"/>
      <c r="D365" s="33"/>
      <c r="E365" s="18"/>
      <c r="F365" s="16"/>
      <c r="G365" s="16"/>
      <c r="H365" s="16"/>
      <c r="I365" s="16"/>
      <c r="J365" s="16"/>
      <c r="K365" s="16"/>
      <c r="L365" s="37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38"/>
      <c r="Z365" s="34"/>
      <c r="AA365" s="18"/>
    </row>
    <row r="366" ht="21.0" customHeight="1">
      <c r="A366" s="18"/>
      <c r="B366" s="33"/>
      <c r="C366" s="34"/>
      <c r="D366" s="33"/>
      <c r="E366" s="18"/>
      <c r="F366" s="16"/>
      <c r="G366" s="16"/>
      <c r="H366" s="16"/>
      <c r="I366" s="16"/>
      <c r="J366" s="16"/>
      <c r="K366" s="16"/>
      <c r="L366" s="37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38"/>
      <c r="Z366" s="34"/>
      <c r="AA366" s="18"/>
    </row>
    <row r="367" ht="21.0" customHeight="1">
      <c r="A367" s="18"/>
      <c r="B367" s="33"/>
      <c r="C367" s="34"/>
      <c r="D367" s="33"/>
      <c r="E367" s="18"/>
      <c r="F367" s="16"/>
      <c r="G367" s="16"/>
      <c r="H367" s="16"/>
      <c r="I367" s="16"/>
      <c r="J367" s="16"/>
      <c r="K367" s="16"/>
      <c r="L367" s="37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38"/>
      <c r="Z367" s="34"/>
      <c r="AA367" s="18"/>
    </row>
    <row r="368" ht="21.0" customHeight="1">
      <c r="A368" s="18"/>
      <c r="B368" s="33"/>
      <c r="C368" s="34"/>
      <c r="D368" s="33"/>
      <c r="E368" s="18"/>
      <c r="F368" s="16"/>
      <c r="G368" s="16"/>
      <c r="H368" s="16"/>
      <c r="I368" s="16"/>
      <c r="J368" s="16"/>
      <c r="K368" s="16"/>
      <c r="L368" s="37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38"/>
      <c r="Z368" s="34"/>
      <c r="AA368" s="18"/>
    </row>
    <row r="369" ht="21.0" customHeight="1">
      <c r="A369" s="18"/>
      <c r="B369" s="33"/>
      <c r="C369" s="34"/>
      <c r="D369" s="33"/>
      <c r="E369" s="18"/>
      <c r="F369" s="16"/>
      <c r="G369" s="16"/>
      <c r="H369" s="16"/>
      <c r="I369" s="16"/>
      <c r="J369" s="16"/>
      <c r="K369" s="16"/>
      <c r="L369" s="37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38"/>
      <c r="Z369" s="34"/>
      <c r="AA369" s="18"/>
    </row>
    <row r="370" ht="21.0" customHeight="1">
      <c r="A370" s="18"/>
      <c r="B370" s="33"/>
      <c r="C370" s="34"/>
      <c r="D370" s="33"/>
      <c r="E370" s="18"/>
      <c r="F370" s="16"/>
      <c r="G370" s="16"/>
      <c r="H370" s="16"/>
      <c r="I370" s="16"/>
      <c r="J370" s="16"/>
      <c r="K370" s="16"/>
      <c r="L370" s="37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38"/>
      <c r="Z370" s="34"/>
      <c r="AA370" s="18"/>
    </row>
    <row r="371" ht="21.0" customHeight="1">
      <c r="A371" s="18"/>
      <c r="B371" s="33"/>
      <c r="C371" s="34"/>
      <c r="D371" s="33"/>
      <c r="E371" s="18"/>
      <c r="F371" s="16"/>
      <c r="G371" s="16"/>
      <c r="H371" s="16"/>
      <c r="I371" s="16"/>
      <c r="J371" s="16"/>
      <c r="K371" s="16"/>
      <c r="L371" s="37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38"/>
      <c r="Z371" s="34"/>
      <c r="AA371" s="18"/>
    </row>
    <row r="372" ht="21.0" customHeight="1">
      <c r="A372" s="18"/>
      <c r="B372" s="33"/>
      <c r="C372" s="34"/>
      <c r="D372" s="33"/>
      <c r="E372" s="18"/>
      <c r="F372" s="16"/>
      <c r="G372" s="16"/>
      <c r="H372" s="16"/>
      <c r="I372" s="16"/>
      <c r="J372" s="16"/>
      <c r="K372" s="16"/>
      <c r="L372" s="37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38"/>
      <c r="Z372" s="34"/>
      <c r="AA372" s="18"/>
    </row>
    <row r="373" ht="21.0" customHeight="1">
      <c r="A373" s="18"/>
      <c r="B373" s="33"/>
      <c r="C373" s="34"/>
      <c r="D373" s="33"/>
      <c r="E373" s="18"/>
      <c r="F373" s="16"/>
      <c r="G373" s="16"/>
      <c r="H373" s="16"/>
      <c r="I373" s="16"/>
      <c r="J373" s="16"/>
      <c r="K373" s="16"/>
      <c r="L373" s="37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38"/>
      <c r="Z373" s="34"/>
      <c r="AA373" s="18"/>
    </row>
    <row r="374" ht="21.0" customHeight="1">
      <c r="A374" s="18"/>
      <c r="B374" s="33"/>
      <c r="C374" s="34"/>
      <c r="D374" s="33"/>
      <c r="E374" s="18"/>
      <c r="F374" s="16"/>
      <c r="G374" s="16"/>
      <c r="H374" s="16"/>
      <c r="I374" s="16"/>
      <c r="J374" s="16"/>
      <c r="K374" s="16"/>
      <c r="L374" s="37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38"/>
      <c r="Z374" s="34"/>
      <c r="AA374" s="18"/>
    </row>
    <row r="375" ht="21.0" customHeight="1">
      <c r="A375" s="18"/>
      <c r="B375" s="33"/>
      <c r="C375" s="34"/>
      <c r="D375" s="33"/>
      <c r="E375" s="18"/>
      <c r="F375" s="16"/>
      <c r="G375" s="16"/>
      <c r="H375" s="16"/>
      <c r="I375" s="16"/>
      <c r="J375" s="16"/>
      <c r="K375" s="16"/>
      <c r="L375" s="37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38"/>
      <c r="Z375" s="34"/>
      <c r="AA375" s="18"/>
    </row>
    <row r="376" ht="21.0" customHeight="1">
      <c r="A376" s="18"/>
      <c r="B376" s="33"/>
      <c r="C376" s="34"/>
      <c r="D376" s="33"/>
      <c r="E376" s="18"/>
      <c r="F376" s="16"/>
      <c r="G376" s="16"/>
      <c r="H376" s="16"/>
      <c r="I376" s="16"/>
      <c r="J376" s="16"/>
      <c r="K376" s="16"/>
      <c r="L376" s="37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38"/>
      <c r="Z376" s="34"/>
      <c r="AA376" s="18"/>
    </row>
    <row r="377" ht="21.0" customHeight="1">
      <c r="A377" s="18"/>
      <c r="B377" s="33"/>
      <c r="C377" s="34"/>
      <c r="D377" s="33"/>
      <c r="E377" s="18"/>
      <c r="F377" s="16"/>
      <c r="G377" s="16"/>
      <c r="H377" s="16"/>
      <c r="I377" s="16"/>
      <c r="J377" s="16"/>
      <c r="K377" s="16"/>
      <c r="L377" s="37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38"/>
      <c r="Z377" s="34"/>
      <c r="AA377" s="18"/>
    </row>
    <row r="378" ht="21.0" customHeight="1">
      <c r="A378" s="18"/>
      <c r="B378" s="33"/>
      <c r="C378" s="34"/>
      <c r="D378" s="33"/>
      <c r="E378" s="18"/>
      <c r="F378" s="16"/>
      <c r="G378" s="16"/>
      <c r="H378" s="16"/>
      <c r="I378" s="16"/>
      <c r="J378" s="16"/>
      <c r="K378" s="16"/>
      <c r="L378" s="37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38"/>
      <c r="Z378" s="34"/>
      <c r="AA378" s="18"/>
    </row>
    <row r="379" ht="21.0" customHeight="1">
      <c r="A379" s="18"/>
      <c r="B379" s="33"/>
      <c r="C379" s="34"/>
      <c r="D379" s="33"/>
      <c r="E379" s="18"/>
      <c r="F379" s="16"/>
      <c r="G379" s="16"/>
      <c r="H379" s="16"/>
      <c r="I379" s="16"/>
      <c r="J379" s="16"/>
      <c r="K379" s="16"/>
      <c r="L379" s="37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38"/>
      <c r="Z379" s="34"/>
      <c r="AA379" s="18"/>
    </row>
    <row r="380" ht="21.0" customHeight="1">
      <c r="A380" s="18"/>
      <c r="B380" s="33"/>
      <c r="C380" s="34"/>
      <c r="D380" s="33"/>
      <c r="E380" s="18"/>
      <c r="F380" s="16"/>
      <c r="G380" s="16"/>
      <c r="H380" s="16"/>
      <c r="I380" s="16"/>
      <c r="J380" s="16"/>
      <c r="K380" s="16"/>
      <c r="L380" s="37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38"/>
      <c r="Z380" s="34"/>
      <c r="AA380" s="18"/>
    </row>
    <row r="381" ht="21.0" customHeight="1">
      <c r="A381" s="18"/>
      <c r="B381" s="33"/>
      <c r="C381" s="34"/>
      <c r="D381" s="33"/>
      <c r="E381" s="18"/>
      <c r="F381" s="16"/>
      <c r="G381" s="16"/>
      <c r="H381" s="16"/>
      <c r="I381" s="16"/>
      <c r="J381" s="16"/>
      <c r="K381" s="16"/>
      <c r="L381" s="37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38"/>
      <c r="Z381" s="34"/>
      <c r="AA381" s="18"/>
    </row>
    <row r="382" ht="21.0" customHeight="1">
      <c r="A382" s="18"/>
      <c r="B382" s="33"/>
      <c r="C382" s="34"/>
      <c r="D382" s="33"/>
      <c r="E382" s="18"/>
      <c r="F382" s="16"/>
      <c r="G382" s="16"/>
      <c r="H382" s="16"/>
      <c r="I382" s="16"/>
      <c r="J382" s="16"/>
      <c r="K382" s="16"/>
      <c r="L382" s="37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38"/>
      <c r="Z382" s="34"/>
      <c r="AA382" s="18"/>
    </row>
    <row r="383" ht="21.0" customHeight="1">
      <c r="A383" s="18"/>
      <c r="B383" s="33"/>
      <c r="C383" s="34"/>
      <c r="D383" s="33"/>
      <c r="E383" s="18"/>
      <c r="F383" s="16"/>
      <c r="G383" s="16"/>
      <c r="H383" s="16"/>
      <c r="I383" s="16"/>
      <c r="J383" s="16"/>
      <c r="K383" s="16"/>
      <c r="L383" s="37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38"/>
      <c r="Z383" s="34"/>
      <c r="AA383" s="18"/>
    </row>
    <row r="384" ht="21.0" customHeight="1">
      <c r="A384" s="18"/>
      <c r="B384" s="33"/>
      <c r="C384" s="34"/>
      <c r="D384" s="33"/>
      <c r="E384" s="18"/>
      <c r="F384" s="16"/>
      <c r="G384" s="16"/>
      <c r="H384" s="16"/>
      <c r="I384" s="16"/>
      <c r="J384" s="16"/>
      <c r="K384" s="16"/>
      <c r="L384" s="37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38"/>
      <c r="Z384" s="34"/>
      <c r="AA384" s="18"/>
    </row>
    <row r="385" ht="21.0" customHeight="1">
      <c r="A385" s="18"/>
      <c r="B385" s="33"/>
      <c r="C385" s="34"/>
      <c r="D385" s="33"/>
      <c r="E385" s="18"/>
      <c r="F385" s="16"/>
      <c r="G385" s="16"/>
      <c r="H385" s="16"/>
      <c r="I385" s="16"/>
      <c r="J385" s="16"/>
      <c r="K385" s="16"/>
      <c r="L385" s="37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38"/>
      <c r="Z385" s="34"/>
      <c r="AA385" s="18"/>
    </row>
    <row r="386" ht="21.0" customHeight="1">
      <c r="A386" s="18"/>
      <c r="B386" s="33"/>
      <c r="C386" s="34"/>
      <c r="D386" s="33"/>
      <c r="E386" s="18"/>
      <c r="F386" s="16"/>
      <c r="G386" s="16"/>
      <c r="H386" s="16"/>
      <c r="I386" s="16"/>
      <c r="J386" s="16"/>
      <c r="K386" s="16"/>
      <c r="L386" s="37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38"/>
      <c r="Z386" s="34"/>
      <c r="AA386" s="18"/>
    </row>
    <row r="387" ht="21.0" customHeight="1">
      <c r="A387" s="18"/>
      <c r="B387" s="33"/>
      <c r="C387" s="34"/>
      <c r="D387" s="33"/>
      <c r="E387" s="18"/>
      <c r="F387" s="16"/>
      <c r="G387" s="16"/>
      <c r="H387" s="16"/>
      <c r="I387" s="16"/>
      <c r="J387" s="16"/>
      <c r="K387" s="16"/>
      <c r="L387" s="37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38"/>
      <c r="Z387" s="34"/>
      <c r="AA387" s="18"/>
    </row>
    <row r="388" ht="21.0" customHeight="1">
      <c r="A388" s="18"/>
      <c r="B388" s="33"/>
      <c r="C388" s="34"/>
      <c r="D388" s="33"/>
      <c r="E388" s="18"/>
      <c r="F388" s="16"/>
      <c r="G388" s="16"/>
      <c r="H388" s="16"/>
      <c r="I388" s="16"/>
      <c r="J388" s="16"/>
      <c r="K388" s="16"/>
      <c r="L388" s="37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38"/>
      <c r="Z388" s="34"/>
      <c r="AA388" s="18"/>
    </row>
    <row r="389" ht="21.0" customHeight="1">
      <c r="A389" s="18"/>
      <c r="B389" s="33"/>
      <c r="C389" s="34"/>
      <c r="D389" s="33"/>
      <c r="E389" s="18"/>
      <c r="F389" s="16"/>
      <c r="G389" s="16"/>
      <c r="H389" s="16"/>
      <c r="I389" s="16"/>
      <c r="J389" s="16"/>
      <c r="K389" s="16"/>
      <c r="L389" s="37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38"/>
      <c r="Z389" s="34"/>
      <c r="AA389" s="18"/>
    </row>
    <row r="390" ht="21.0" customHeight="1">
      <c r="A390" s="18"/>
      <c r="B390" s="33"/>
      <c r="C390" s="34"/>
      <c r="D390" s="33"/>
      <c r="E390" s="18"/>
      <c r="F390" s="16"/>
      <c r="G390" s="16"/>
      <c r="H390" s="16"/>
      <c r="I390" s="16"/>
      <c r="J390" s="16"/>
      <c r="K390" s="16"/>
      <c r="L390" s="37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38"/>
      <c r="Z390" s="34"/>
      <c r="AA390" s="18"/>
    </row>
    <row r="391" ht="21.0" customHeight="1">
      <c r="A391" s="18"/>
      <c r="B391" s="33"/>
      <c r="C391" s="34"/>
      <c r="D391" s="33"/>
      <c r="E391" s="18"/>
      <c r="F391" s="16"/>
      <c r="G391" s="16"/>
      <c r="H391" s="16"/>
      <c r="I391" s="16"/>
      <c r="J391" s="16"/>
      <c r="K391" s="16"/>
      <c r="L391" s="37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38"/>
      <c r="Z391" s="34"/>
      <c r="AA391" s="18"/>
    </row>
    <row r="392" ht="21.0" customHeight="1">
      <c r="A392" s="18"/>
      <c r="B392" s="33"/>
      <c r="C392" s="34"/>
      <c r="D392" s="33"/>
      <c r="E392" s="18"/>
      <c r="F392" s="16"/>
      <c r="G392" s="16"/>
      <c r="H392" s="16"/>
      <c r="I392" s="16"/>
      <c r="J392" s="16"/>
      <c r="K392" s="16"/>
      <c r="L392" s="37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38"/>
      <c r="Z392" s="34"/>
      <c r="AA392" s="18"/>
    </row>
    <row r="393" ht="21.0" customHeight="1">
      <c r="A393" s="18"/>
      <c r="B393" s="33"/>
      <c r="C393" s="34"/>
      <c r="D393" s="33"/>
      <c r="E393" s="18"/>
      <c r="F393" s="16"/>
      <c r="G393" s="16"/>
      <c r="H393" s="16"/>
      <c r="I393" s="16"/>
      <c r="J393" s="16"/>
      <c r="K393" s="16"/>
      <c r="L393" s="37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38"/>
      <c r="Z393" s="34"/>
      <c r="AA393" s="18"/>
    </row>
    <row r="394" ht="21.0" customHeight="1">
      <c r="A394" s="18"/>
      <c r="B394" s="33"/>
      <c r="C394" s="34"/>
      <c r="D394" s="33"/>
      <c r="E394" s="18"/>
      <c r="F394" s="16"/>
      <c r="G394" s="16"/>
      <c r="H394" s="16"/>
      <c r="I394" s="16"/>
      <c r="J394" s="16"/>
      <c r="K394" s="16"/>
      <c r="L394" s="37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38"/>
      <c r="Z394" s="34"/>
      <c r="AA394" s="18"/>
    </row>
    <row r="395" ht="21.0" customHeight="1">
      <c r="A395" s="18"/>
      <c r="B395" s="33"/>
      <c r="C395" s="34"/>
      <c r="D395" s="33"/>
      <c r="E395" s="18"/>
      <c r="F395" s="16"/>
      <c r="G395" s="16"/>
      <c r="H395" s="16"/>
      <c r="I395" s="16"/>
      <c r="J395" s="16"/>
      <c r="K395" s="16"/>
      <c r="L395" s="37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38"/>
      <c r="Z395" s="34"/>
      <c r="AA395" s="18"/>
    </row>
    <row r="396" ht="21.0" customHeight="1">
      <c r="A396" s="18"/>
      <c r="B396" s="33"/>
      <c r="C396" s="34"/>
      <c r="D396" s="33"/>
      <c r="E396" s="18"/>
      <c r="F396" s="16"/>
      <c r="G396" s="16"/>
      <c r="H396" s="16"/>
      <c r="I396" s="16"/>
      <c r="J396" s="16"/>
      <c r="K396" s="16"/>
      <c r="L396" s="37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38"/>
      <c r="Z396" s="34"/>
      <c r="AA396" s="18"/>
    </row>
    <row r="397" ht="21.0" customHeight="1">
      <c r="A397" s="18"/>
      <c r="B397" s="33"/>
      <c r="C397" s="34"/>
      <c r="D397" s="33"/>
      <c r="E397" s="18"/>
      <c r="F397" s="16"/>
      <c r="G397" s="16"/>
      <c r="H397" s="16"/>
      <c r="I397" s="16"/>
      <c r="J397" s="16"/>
      <c r="K397" s="16"/>
      <c r="L397" s="37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38"/>
      <c r="Z397" s="34"/>
      <c r="AA397" s="18"/>
    </row>
    <row r="398" ht="21.0" customHeight="1">
      <c r="A398" s="18"/>
      <c r="B398" s="33"/>
      <c r="C398" s="34"/>
      <c r="D398" s="33"/>
      <c r="E398" s="18"/>
      <c r="F398" s="16"/>
      <c r="G398" s="16"/>
      <c r="H398" s="16"/>
      <c r="I398" s="16"/>
      <c r="J398" s="16"/>
      <c r="K398" s="16"/>
      <c r="L398" s="37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38"/>
      <c r="Z398" s="34"/>
      <c r="AA398" s="18"/>
    </row>
    <row r="399" ht="21.0" customHeight="1">
      <c r="A399" s="18"/>
      <c r="B399" s="33"/>
      <c r="C399" s="34"/>
      <c r="D399" s="33"/>
      <c r="E399" s="18"/>
      <c r="F399" s="16"/>
      <c r="G399" s="16"/>
      <c r="H399" s="16"/>
      <c r="I399" s="16"/>
      <c r="J399" s="16"/>
      <c r="K399" s="16"/>
      <c r="L399" s="37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38"/>
      <c r="Z399" s="34"/>
      <c r="AA399" s="18"/>
    </row>
    <row r="400" ht="21.0" customHeight="1">
      <c r="A400" s="18"/>
      <c r="B400" s="33"/>
      <c r="C400" s="34"/>
      <c r="D400" s="33"/>
      <c r="E400" s="18"/>
      <c r="F400" s="16"/>
      <c r="G400" s="16"/>
      <c r="H400" s="16"/>
      <c r="I400" s="16"/>
      <c r="J400" s="16"/>
      <c r="K400" s="16"/>
      <c r="L400" s="37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38"/>
      <c r="Z400" s="34"/>
      <c r="AA400" s="18"/>
    </row>
    <row r="401" ht="21.0" customHeight="1">
      <c r="A401" s="18"/>
      <c r="B401" s="33"/>
      <c r="C401" s="34"/>
      <c r="D401" s="33"/>
      <c r="E401" s="18"/>
      <c r="F401" s="16"/>
      <c r="G401" s="16"/>
      <c r="H401" s="16"/>
      <c r="I401" s="16"/>
      <c r="J401" s="16"/>
      <c r="K401" s="16"/>
      <c r="L401" s="37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38"/>
      <c r="Z401" s="34"/>
      <c r="AA401" s="18"/>
    </row>
    <row r="402" ht="21.0" customHeight="1">
      <c r="A402" s="18"/>
      <c r="B402" s="33"/>
      <c r="C402" s="34"/>
      <c r="D402" s="33"/>
      <c r="E402" s="18"/>
      <c r="F402" s="16"/>
      <c r="G402" s="16"/>
      <c r="H402" s="16"/>
      <c r="I402" s="16"/>
      <c r="J402" s="16"/>
      <c r="K402" s="16"/>
      <c r="L402" s="37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38"/>
      <c r="Z402" s="34"/>
      <c r="AA402" s="18"/>
    </row>
    <row r="403" ht="21.0" customHeight="1">
      <c r="A403" s="18"/>
      <c r="B403" s="33"/>
      <c r="C403" s="34"/>
      <c r="D403" s="33"/>
      <c r="E403" s="18"/>
      <c r="F403" s="16"/>
      <c r="G403" s="16"/>
      <c r="H403" s="16"/>
      <c r="I403" s="16"/>
      <c r="J403" s="16"/>
      <c r="K403" s="16"/>
      <c r="L403" s="37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38"/>
      <c r="Z403" s="34"/>
      <c r="AA403" s="18"/>
    </row>
    <row r="404" ht="21.0" customHeight="1">
      <c r="A404" s="18"/>
      <c r="B404" s="33"/>
      <c r="C404" s="34"/>
      <c r="D404" s="33"/>
      <c r="E404" s="18"/>
      <c r="F404" s="16"/>
      <c r="G404" s="16"/>
      <c r="H404" s="16"/>
      <c r="I404" s="16"/>
      <c r="J404" s="16"/>
      <c r="K404" s="16"/>
      <c r="L404" s="37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38"/>
      <c r="Z404" s="34"/>
      <c r="AA404" s="18"/>
    </row>
    <row r="405" ht="21.0" customHeight="1">
      <c r="A405" s="18"/>
      <c r="B405" s="33"/>
      <c r="C405" s="34"/>
      <c r="D405" s="33"/>
      <c r="E405" s="18"/>
      <c r="F405" s="16"/>
      <c r="G405" s="16"/>
      <c r="H405" s="16"/>
      <c r="I405" s="16"/>
      <c r="J405" s="16"/>
      <c r="K405" s="16"/>
      <c r="L405" s="37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38"/>
      <c r="Z405" s="34"/>
      <c r="AA405" s="18"/>
    </row>
    <row r="406" ht="21.0" customHeight="1">
      <c r="A406" s="18"/>
      <c r="B406" s="33"/>
      <c r="C406" s="34"/>
      <c r="D406" s="33"/>
      <c r="E406" s="18"/>
      <c r="F406" s="16"/>
      <c r="G406" s="16"/>
      <c r="H406" s="16"/>
      <c r="I406" s="16"/>
      <c r="J406" s="16"/>
      <c r="K406" s="16"/>
      <c r="L406" s="37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38"/>
      <c r="Z406" s="34"/>
      <c r="AA406" s="18"/>
    </row>
    <row r="407" ht="21.0" customHeight="1">
      <c r="A407" s="18"/>
      <c r="B407" s="33"/>
      <c r="C407" s="34"/>
      <c r="D407" s="33"/>
      <c r="E407" s="18"/>
      <c r="F407" s="16"/>
      <c r="G407" s="16"/>
      <c r="H407" s="16"/>
      <c r="I407" s="16"/>
      <c r="J407" s="16"/>
      <c r="K407" s="16"/>
      <c r="L407" s="37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38"/>
      <c r="Z407" s="34"/>
      <c r="AA407" s="18"/>
    </row>
    <row r="408" ht="21.0" customHeight="1">
      <c r="A408" s="18"/>
      <c r="B408" s="33"/>
      <c r="C408" s="34"/>
      <c r="D408" s="33"/>
      <c r="E408" s="18"/>
      <c r="F408" s="16"/>
      <c r="G408" s="16"/>
      <c r="H408" s="16"/>
      <c r="I408" s="16"/>
      <c r="J408" s="16"/>
      <c r="K408" s="16"/>
      <c r="L408" s="37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38"/>
      <c r="Z408" s="34"/>
      <c r="AA408" s="18"/>
    </row>
    <row r="409" ht="21.0" customHeight="1">
      <c r="A409" s="18"/>
      <c r="B409" s="33"/>
      <c r="C409" s="34"/>
      <c r="D409" s="33"/>
      <c r="E409" s="18"/>
      <c r="F409" s="16"/>
      <c r="G409" s="16"/>
      <c r="H409" s="16"/>
      <c r="I409" s="16"/>
      <c r="J409" s="16"/>
      <c r="K409" s="16"/>
      <c r="L409" s="37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38"/>
      <c r="Z409" s="34"/>
      <c r="AA409" s="18"/>
    </row>
    <row r="410" ht="21.0" customHeight="1">
      <c r="A410" s="18"/>
      <c r="B410" s="33"/>
      <c r="C410" s="34"/>
      <c r="D410" s="33"/>
      <c r="E410" s="18"/>
      <c r="F410" s="16"/>
      <c r="G410" s="16"/>
      <c r="H410" s="16"/>
      <c r="I410" s="16"/>
      <c r="J410" s="16"/>
      <c r="K410" s="16"/>
      <c r="L410" s="37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38"/>
      <c r="Z410" s="34"/>
      <c r="AA410" s="18"/>
    </row>
    <row r="411" ht="21.0" customHeight="1">
      <c r="A411" s="18"/>
      <c r="B411" s="33"/>
      <c r="C411" s="34"/>
      <c r="D411" s="33"/>
      <c r="E411" s="18"/>
      <c r="F411" s="16"/>
      <c r="G411" s="16"/>
      <c r="H411" s="16"/>
      <c r="I411" s="16"/>
      <c r="J411" s="16"/>
      <c r="K411" s="16"/>
      <c r="L411" s="37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38"/>
      <c r="Z411" s="34"/>
      <c r="AA411" s="18"/>
    </row>
    <row r="412" ht="21.0" customHeight="1">
      <c r="A412" s="18"/>
      <c r="B412" s="33"/>
      <c r="C412" s="34"/>
      <c r="D412" s="33"/>
      <c r="E412" s="18"/>
      <c r="F412" s="16"/>
      <c r="G412" s="16"/>
      <c r="H412" s="16"/>
      <c r="I412" s="16"/>
      <c r="J412" s="16"/>
      <c r="K412" s="16"/>
      <c r="L412" s="37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38"/>
      <c r="Z412" s="34"/>
      <c r="AA412" s="18"/>
    </row>
    <row r="413" ht="21.0" customHeight="1">
      <c r="A413" s="18"/>
      <c r="B413" s="33"/>
      <c r="C413" s="34"/>
      <c r="D413" s="33"/>
      <c r="E413" s="18"/>
      <c r="F413" s="16"/>
      <c r="G413" s="16"/>
      <c r="H413" s="16"/>
      <c r="I413" s="16"/>
      <c r="J413" s="16"/>
      <c r="K413" s="16"/>
      <c r="L413" s="37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38"/>
      <c r="Z413" s="34"/>
      <c r="AA413" s="18"/>
    </row>
    <row r="414" ht="21.0" customHeight="1">
      <c r="A414" s="18"/>
      <c r="B414" s="33"/>
      <c r="C414" s="34"/>
      <c r="D414" s="33"/>
      <c r="E414" s="18"/>
      <c r="F414" s="16"/>
      <c r="G414" s="16"/>
      <c r="H414" s="16"/>
      <c r="I414" s="16"/>
      <c r="J414" s="16"/>
      <c r="K414" s="16"/>
      <c r="L414" s="37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38"/>
      <c r="Z414" s="34"/>
      <c r="AA414" s="18"/>
    </row>
    <row r="415" ht="21.0" customHeight="1">
      <c r="A415" s="18"/>
      <c r="B415" s="33"/>
      <c r="C415" s="34"/>
      <c r="D415" s="33"/>
      <c r="E415" s="18"/>
      <c r="F415" s="16"/>
      <c r="G415" s="16"/>
      <c r="H415" s="16"/>
      <c r="I415" s="16"/>
      <c r="J415" s="16"/>
      <c r="K415" s="16"/>
      <c r="L415" s="37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38"/>
      <c r="Z415" s="34"/>
      <c r="AA415" s="18"/>
    </row>
    <row r="416" ht="21.0" customHeight="1">
      <c r="A416" s="18"/>
      <c r="B416" s="33"/>
      <c r="C416" s="34"/>
      <c r="D416" s="33"/>
      <c r="E416" s="18"/>
      <c r="F416" s="16"/>
      <c r="G416" s="16"/>
      <c r="H416" s="16"/>
      <c r="I416" s="16"/>
      <c r="J416" s="16"/>
      <c r="K416" s="16"/>
      <c r="L416" s="37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38"/>
      <c r="Z416" s="34"/>
      <c r="AA416" s="18"/>
    </row>
    <row r="417" ht="21.0" customHeight="1">
      <c r="A417" s="18"/>
      <c r="B417" s="33"/>
      <c r="C417" s="34"/>
      <c r="D417" s="33"/>
      <c r="E417" s="18"/>
      <c r="F417" s="16"/>
      <c r="G417" s="16"/>
      <c r="H417" s="16"/>
      <c r="I417" s="16"/>
      <c r="J417" s="16"/>
      <c r="K417" s="16"/>
      <c r="L417" s="37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38"/>
      <c r="Z417" s="34"/>
      <c r="AA417" s="18"/>
    </row>
    <row r="418" ht="21.0" customHeight="1">
      <c r="A418" s="18"/>
      <c r="B418" s="33"/>
      <c r="C418" s="34"/>
      <c r="D418" s="33"/>
      <c r="E418" s="18"/>
      <c r="F418" s="16"/>
      <c r="G418" s="16"/>
      <c r="H418" s="16"/>
      <c r="I418" s="16"/>
      <c r="J418" s="16"/>
      <c r="K418" s="16"/>
      <c r="L418" s="37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38"/>
      <c r="Z418" s="34"/>
      <c r="AA418" s="18"/>
    </row>
    <row r="419" ht="21.0" customHeight="1">
      <c r="A419" s="18"/>
      <c r="B419" s="33"/>
      <c r="C419" s="34"/>
      <c r="D419" s="33"/>
      <c r="E419" s="18"/>
      <c r="F419" s="16"/>
      <c r="G419" s="16"/>
      <c r="H419" s="16"/>
      <c r="I419" s="16"/>
      <c r="J419" s="16"/>
      <c r="K419" s="16"/>
      <c r="L419" s="37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38"/>
      <c r="Z419" s="34"/>
      <c r="AA419" s="18"/>
    </row>
    <row r="420" ht="21.0" customHeight="1">
      <c r="A420" s="18"/>
      <c r="B420" s="33"/>
      <c r="C420" s="34"/>
      <c r="D420" s="33"/>
      <c r="E420" s="18"/>
      <c r="F420" s="16"/>
      <c r="G420" s="16"/>
      <c r="H420" s="16"/>
      <c r="I420" s="16"/>
      <c r="J420" s="16"/>
      <c r="K420" s="16"/>
      <c r="L420" s="37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38"/>
      <c r="Z420" s="34"/>
      <c r="AA420" s="18"/>
    </row>
    <row r="421" ht="21.0" customHeight="1">
      <c r="A421" s="18"/>
      <c r="B421" s="33"/>
      <c r="C421" s="34"/>
      <c r="D421" s="33"/>
      <c r="E421" s="18"/>
      <c r="F421" s="16"/>
      <c r="G421" s="16"/>
      <c r="H421" s="16"/>
      <c r="I421" s="16"/>
      <c r="J421" s="16"/>
      <c r="K421" s="16"/>
      <c r="L421" s="37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38"/>
      <c r="Z421" s="34"/>
      <c r="AA421" s="18"/>
    </row>
    <row r="422" ht="21.0" customHeight="1">
      <c r="A422" s="18"/>
      <c r="B422" s="33"/>
      <c r="C422" s="34"/>
      <c r="D422" s="33"/>
      <c r="E422" s="18"/>
      <c r="F422" s="16"/>
      <c r="G422" s="16"/>
      <c r="H422" s="16"/>
      <c r="I422" s="16"/>
      <c r="J422" s="16"/>
      <c r="K422" s="16"/>
      <c r="L422" s="37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38"/>
      <c r="Z422" s="34"/>
      <c r="AA422" s="18"/>
    </row>
    <row r="423" ht="21.0" customHeight="1">
      <c r="A423" s="18"/>
      <c r="B423" s="33"/>
      <c r="C423" s="34"/>
      <c r="D423" s="33"/>
      <c r="E423" s="18"/>
      <c r="F423" s="16"/>
      <c r="G423" s="16"/>
      <c r="H423" s="16"/>
      <c r="I423" s="16"/>
      <c r="J423" s="16"/>
      <c r="K423" s="16"/>
      <c r="L423" s="37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38"/>
      <c r="Z423" s="34"/>
      <c r="AA423" s="18"/>
    </row>
    <row r="424" ht="21.0" customHeight="1">
      <c r="A424" s="18"/>
      <c r="B424" s="33"/>
      <c r="C424" s="34"/>
      <c r="D424" s="33"/>
      <c r="E424" s="18"/>
      <c r="F424" s="16"/>
      <c r="G424" s="16"/>
      <c r="H424" s="16"/>
      <c r="I424" s="16"/>
      <c r="J424" s="16"/>
      <c r="K424" s="16"/>
      <c r="L424" s="37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38"/>
      <c r="Z424" s="34"/>
      <c r="AA424" s="18"/>
    </row>
    <row r="425" ht="21.0" customHeight="1">
      <c r="A425" s="18"/>
      <c r="B425" s="33"/>
      <c r="C425" s="34"/>
      <c r="D425" s="33"/>
      <c r="E425" s="18"/>
      <c r="F425" s="16"/>
      <c r="G425" s="16"/>
      <c r="H425" s="16"/>
      <c r="I425" s="16"/>
      <c r="J425" s="16"/>
      <c r="K425" s="16"/>
      <c r="L425" s="37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38"/>
      <c r="Z425" s="34"/>
      <c r="AA425" s="18"/>
    </row>
    <row r="426" ht="21.0" customHeight="1">
      <c r="A426" s="18"/>
      <c r="B426" s="33"/>
      <c r="C426" s="34"/>
      <c r="D426" s="33"/>
      <c r="E426" s="18"/>
      <c r="F426" s="16"/>
      <c r="G426" s="16"/>
      <c r="H426" s="16"/>
      <c r="I426" s="16"/>
      <c r="J426" s="16"/>
      <c r="K426" s="16"/>
      <c r="L426" s="37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38"/>
      <c r="Z426" s="34"/>
      <c r="AA426" s="18"/>
    </row>
    <row r="427" ht="21.0" customHeight="1">
      <c r="A427" s="18"/>
      <c r="B427" s="33"/>
      <c r="C427" s="34"/>
      <c r="D427" s="33"/>
      <c r="E427" s="18"/>
      <c r="F427" s="16"/>
      <c r="G427" s="16"/>
      <c r="H427" s="16"/>
      <c r="I427" s="16"/>
      <c r="J427" s="16"/>
      <c r="K427" s="16"/>
      <c r="L427" s="37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38"/>
      <c r="Z427" s="34"/>
      <c r="AA427" s="18"/>
    </row>
    <row r="428" ht="21.0" customHeight="1">
      <c r="A428" s="18"/>
      <c r="B428" s="33"/>
      <c r="C428" s="34"/>
      <c r="D428" s="33"/>
      <c r="E428" s="18"/>
      <c r="F428" s="16"/>
      <c r="G428" s="16"/>
      <c r="H428" s="16"/>
      <c r="I428" s="16"/>
      <c r="J428" s="16"/>
      <c r="K428" s="16"/>
      <c r="L428" s="37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38"/>
      <c r="Z428" s="34"/>
      <c r="AA428" s="18"/>
    </row>
    <row r="429" ht="21.0" customHeight="1">
      <c r="A429" s="18"/>
      <c r="B429" s="33"/>
      <c r="C429" s="34"/>
      <c r="D429" s="33"/>
      <c r="E429" s="18"/>
      <c r="F429" s="16"/>
      <c r="G429" s="16"/>
      <c r="H429" s="16"/>
      <c r="I429" s="16"/>
      <c r="J429" s="16"/>
      <c r="K429" s="16"/>
      <c r="L429" s="37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38"/>
      <c r="Z429" s="34"/>
      <c r="AA429" s="18"/>
    </row>
    <row r="430" ht="21.0" customHeight="1">
      <c r="A430" s="18"/>
      <c r="B430" s="33"/>
      <c r="C430" s="34"/>
      <c r="D430" s="33"/>
      <c r="E430" s="18"/>
      <c r="F430" s="16"/>
      <c r="G430" s="16"/>
      <c r="H430" s="16"/>
      <c r="I430" s="16"/>
      <c r="J430" s="16"/>
      <c r="K430" s="16"/>
      <c r="L430" s="37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38"/>
      <c r="Z430" s="34"/>
      <c r="AA430" s="18"/>
    </row>
    <row r="431" ht="21.0" customHeight="1">
      <c r="A431" s="18"/>
      <c r="B431" s="33"/>
      <c r="C431" s="34"/>
      <c r="D431" s="33"/>
      <c r="E431" s="18"/>
      <c r="F431" s="16"/>
      <c r="G431" s="16"/>
      <c r="H431" s="16"/>
      <c r="I431" s="16"/>
      <c r="J431" s="16"/>
      <c r="K431" s="16"/>
      <c r="L431" s="37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38"/>
      <c r="Z431" s="34"/>
      <c r="AA431" s="18"/>
    </row>
    <row r="432" ht="21.0" customHeight="1">
      <c r="A432" s="18"/>
      <c r="B432" s="33"/>
      <c r="C432" s="34"/>
      <c r="D432" s="33"/>
      <c r="E432" s="18"/>
      <c r="F432" s="16"/>
      <c r="G432" s="16"/>
      <c r="H432" s="16"/>
      <c r="I432" s="16"/>
      <c r="J432" s="16"/>
      <c r="K432" s="16"/>
      <c r="L432" s="37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38"/>
      <c r="Z432" s="34"/>
      <c r="AA432" s="18"/>
    </row>
    <row r="433" ht="21.0" customHeight="1">
      <c r="A433" s="18"/>
      <c r="B433" s="33"/>
      <c r="C433" s="34"/>
      <c r="D433" s="33"/>
      <c r="E433" s="18"/>
      <c r="F433" s="16"/>
      <c r="G433" s="16"/>
      <c r="H433" s="16"/>
      <c r="I433" s="16"/>
      <c r="J433" s="16"/>
      <c r="K433" s="16"/>
      <c r="L433" s="37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38"/>
      <c r="Z433" s="34"/>
      <c r="AA433" s="18"/>
    </row>
    <row r="434" ht="21.0" customHeight="1">
      <c r="A434" s="18"/>
      <c r="B434" s="33"/>
      <c r="C434" s="34"/>
      <c r="D434" s="33"/>
      <c r="E434" s="18"/>
      <c r="F434" s="16"/>
      <c r="G434" s="16"/>
      <c r="H434" s="16"/>
      <c r="I434" s="16"/>
      <c r="J434" s="16"/>
      <c r="K434" s="16"/>
      <c r="L434" s="37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38"/>
      <c r="Z434" s="34"/>
      <c r="AA434" s="18"/>
    </row>
    <row r="435" ht="21.0" customHeight="1">
      <c r="A435" s="18"/>
      <c r="B435" s="33"/>
      <c r="C435" s="34"/>
      <c r="D435" s="33"/>
      <c r="E435" s="18"/>
      <c r="F435" s="16"/>
      <c r="G435" s="16"/>
      <c r="H435" s="16"/>
      <c r="I435" s="16"/>
      <c r="J435" s="16"/>
      <c r="K435" s="16"/>
      <c r="L435" s="37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38"/>
      <c r="Z435" s="34"/>
      <c r="AA435" s="18"/>
    </row>
    <row r="436" ht="21.0" customHeight="1">
      <c r="A436" s="18"/>
      <c r="B436" s="33"/>
      <c r="C436" s="34"/>
      <c r="D436" s="33"/>
      <c r="E436" s="18"/>
      <c r="F436" s="16"/>
      <c r="G436" s="16"/>
      <c r="H436" s="16"/>
      <c r="I436" s="16"/>
      <c r="J436" s="16"/>
      <c r="K436" s="16"/>
      <c r="L436" s="37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38"/>
      <c r="Z436" s="34"/>
      <c r="AA436" s="18"/>
    </row>
    <row r="437" ht="21.0" customHeight="1">
      <c r="A437" s="18"/>
      <c r="B437" s="33"/>
      <c r="C437" s="34"/>
      <c r="D437" s="33"/>
      <c r="E437" s="18"/>
      <c r="F437" s="16"/>
      <c r="G437" s="16"/>
      <c r="H437" s="16"/>
      <c r="I437" s="16"/>
      <c r="J437" s="16"/>
      <c r="K437" s="16"/>
      <c r="L437" s="37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38"/>
      <c r="Z437" s="34"/>
      <c r="AA437" s="18"/>
    </row>
    <row r="438" ht="21.0" customHeight="1">
      <c r="A438" s="18"/>
      <c r="B438" s="33"/>
      <c r="C438" s="34"/>
      <c r="D438" s="33"/>
      <c r="E438" s="18"/>
      <c r="F438" s="16"/>
      <c r="G438" s="16"/>
      <c r="H438" s="16"/>
      <c r="I438" s="16"/>
      <c r="J438" s="16"/>
      <c r="K438" s="16"/>
      <c r="L438" s="37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38"/>
      <c r="Z438" s="34"/>
      <c r="AA438" s="18"/>
    </row>
    <row r="439" ht="21.0" customHeight="1">
      <c r="A439" s="18"/>
      <c r="B439" s="33"/>
      <c r="C439" s="34"/>
      <c r="D439" s="33"/>
      <c r="E439" s="18"/>
      <c r="F439" s="16"/>
      <c r="G439" s="16"/>
      <c r="H439" s="16"/>
      <c r="I439" s="16"/>
      <c r="J439" s="16"/>
      <c r="K439" s="16"/>
      <c r="L439" s="37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38"/>
      <c r="Z439" s="34"/>
      <c r="AA439" s="18"/>
    </row>
    <row r="440" ht="21.0" customHeight="1">
      <c r="A440" s="18"/>
      <c r="B440" s="33"/>
      <c r="C440" s="34"/>
      <c r="D440" s="33"/>
      <c r="E440" s="18"/>
      <c r="F440" s="16"/>
      <c r="G440" s="16"/>
      <c r="H440" s="16"/>
      <c r="I440" s="16"/>
      <c r="J440" s="16"/>
      <c r="K440" s="16"/>
      <c r="L440" s="37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38"/>
      <c r="Z440" s="34"/>
      <c r="AA440" s="18"/>
    </row>
    <row r="441" ht="21.0" customHeight="1">
      <c r="A441" s="18"/>
      <c r="B441" s="33"/>
      <c r="C441" s="34"/>
      <c r="D441" s="33"/>
      <c r="E441" s="18"/>
      <c r="F441" s="16"/>
      <c r="G441" s="16"/>
      <c r="H441" s="16"/>
      <c r="I441" s="16"/>
      <c r="J441" s="16"/>
      <c r="K441" s="16"/>
      <c r="L441" s="37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38"/>
      <c r="Z441" s="34"/>
      <c r="AA441" s="18"/>
    </row>
    <row r="442" ht="21.0" customHeight="1">
      <c r="A442" s="18"/>
      <c r="B442" s="33"/>
      <c r="C442" s="34"/>
      <c r="D442" s="33"/>
      <c r="E442" s="18"/>
      <c r="F442" s="16"/>
      <c r="G442" s="16"/>
      <c r="H442" s="16"/>
      <c r="I442" s="16"/>
      <c r="J442" s="16"/>
      <c r="K442" s="16"/>
      <c r="L442" s="37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38"/>
      <c r="Z442" s="34"/>
      <c r="AA442" s="18"/>
    </row>
    <row r="443" ht="21.0" customHeight="1">
      <c r="A443" s="18"/>
      <c r="B443" s="33"/>
      <c r="C443" s="34"/>
      <c r="D443" s="33"/>
      <c r="E443" s="18"/>
      <c r="F443" s="16"/>
      <c r="G443" s="16"/>
      <c r="H443" s="16"/>
      <c r="I443" s="16"/>
      <c r="J443" s="16"/>
      <c r="K443" s="16"/>
      <c r="L443" s="37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38"/>
      <c r="Z443" s="34"/>
      <c r="AA443" s="18"/>
    </row>
    <row r="444" ht="21.0" customHeight="1">
      <c r="A444" s="18"/>
      <c r="B444" s="33"/>
      <c r="C444" s="34"/>
      <c r="D444" s="33"/>
      <c r="E444" s="18"/>
      <c r="F444" s="16"/>
      <c r="G444" s="16"/>
      <c r="H444" s="16"/>
      <c r="I444" s="16"/>
      <c r="J444" s="16"/>
      <c r="K444" s="16"/>
      <c r="L444" s="37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38"/>
      <c r="Z444" s="34"/>
      <c r="AA444" s="18"/>
    </row>
    <row r="445" ht="21.0" customHeight="1">
      <c r="A445" s="18"/>
      <c r="B445" s="33"/>
      <c r="C445" s="34"/>
      <c r="D445" s="33"/>
      <c r="E445" s="18"/>
      <c r="F445" s="16"/>
      <c r="G445" s="16"/>
      <c r="H445" s="16"/>
      <c r="I445" s="16"/>
      <c r="J445" s="16"/>
      <c r="K445" s="16"/>
      <c r="L445" s="37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38"/>
      <c r="Z445" s="34"/>
      <c r="AA445" s="18"/>
    </row>
    <row r="446" ht="21.0" customHeight="1">
      <c r="A446" s="18"/>
      <c r="B446" s="33"/>
      <c r="C446" s="34"/>
      <c r="D446" s="33"/>
      <c r="E446" s="18"/>
      <c r="F446" s="16"/>
      <c r="G446" s="16"/>
      <c r="H446" s="16"/>
      <c r="I446" s="16"/>
      <c r="J446" s="16"/>
      <c r="K446" s="16"/>
      <c r="L446" s="37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38"/>
      <c r="Z446" s="34"/>
      <c r="AA446" s="18"/>
    </row>
    <row r="447" ht="21.0" customHeight="1">
      <c r="A447" s="18"/>
      <c r="B447" s="33"/>
      <c r="C447" s="34"/>
      <c r="D447" s="33"/>
      <c r="E447" s="18"/>
      <c r="F447" s="16"/>
      <c r="G447" s="16"/>
      <c r="H447" s="16"/>
      <c r="I447" s="16"/>
      <c r="J447" s="16"/>
      <c r="K447" s="16"/>
      <c r="L447" s="37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38"/>
      <c r="Z447" s="34"/>
      <c r="AA447" s="18"/>
    </row>
    <row r="448" ht="21.0" customHeight="1">
      <c r="A448" s="18"/>
      <c r="B448" s="33"/>
      <c r="C448" s="34"/>
      <c r="D448" s="33"/>
      <c r="E448" s="18"/>
      <c r="F448" s="16"/>
      <c r="G448" s="16"/>
      <c r="H448" s="16"/>
      <c r="I448" s="16"/>
      <c r="J448" s="16"/>
      <c r="K448" s="16"/>
      <c r="L448" s="37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38"/>
      <c r="Z448" s="34"/>
      <c r="AA448" s="18"/>
    </row>
    <row r="449" ht="21.0" customHeight="1">
      <c r="A449" s="18"/>
      <c r="B449" s="33"/>
      <c r="C449" s="34"/>
      <c r="D449" s="33"/>
      <c r="E449" s="18"/>
      <c r="F449" s="16"/>
      <c r="G449" s="16"/>
      <c r="H449" s="16"/>
      <c r="I449" s="16"/>
      <c r="J449" s="16"/>
      <c r="K449" s="16"/>
      <c r="L449" s="37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38"/>
      <c r="Z449" s="34"/>
      <c r="AA449" s="18"/>
    </row>
    <row r="450" ht="21.0" customHeight="1">
      <c r="A450" s="18"/>
      <c r="B450" s="33"/>
      <c r="C450" s="34"/>
      <c r="D450" s="33"/>
      <c r="E450" s="18"/>
      <c r="F450" s="16"/>
      <c r="G450" s="16"/>
      <c r="H450" s="16"/>
      <c r="I450" s="16"/>
      <c r="J450" s="16"/>
      <c r="K450" s="16"/>
      <c r="L450" s="37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38"/>
      <c r="Z450" s="34"/>
      <c r="AA450" s="18"/>
    </row>
    <row r="451" ht="21.0" customHeight="1">
      <c r="A451" s="18"/>
      <c r="B451" s="33"/>
      <c r="C451" s="34"/>
      <c r="D451" s="33"/>
      <c r="E451" s="18"/>
      <c r="F451" s="16"/>
      <c r="G451" s="16"/>
      <c r="H451" s="16"/>
      <c r="I451" s="16"/>
      <c r="J451" s="16"/>
      <c r="K451" s="16"/>
      <c r="L451" s="37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38"/>
      <c r="Z451" s="34"/>
      <c r="AA451" s="18"/>
    </row>
    <row r="452" ht="21.0" customHeight="1">
      <c r="A452" s="18"/>
      <c r="B452" s="33"/>
      <c r="C452" s="34"/>
      <c r="D452" s="33"/>
      <c r="E452" s="18"/>
      <c r="F452" s="16"/>
      <c r="G452" s="16"/>
      <c r="H452" s="16"/>
      <c r="I452" s="16"/>
      <c r="J452" s="16"/>
      <c r="K452" s="16"/>
      <c r="L452" s="37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38"/>
      <c r="Z452" s="34"/>
      <c r="AA452" s="18"/>
    </row>
    <row r="453" ht="21.0" customHeight="1">
      <c r="A453" s="18"/>
      <c r="B453" s="33"/>
      <c r="C453" s="34"/>
      <c r="D453" s="33"/>
      <c r="E453" s="18"/>
      <c r="F453" s="16"/>
      <c r="G453" s="16"/>
      <c r="H453" s="16"/>
      <c r="I453" s="16"/>
      <c r="J453" s="16"/>
      <c r="K453" s="16"/>
      <c r="L453" s="37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38"/>
      <c r="Z453" s="34"/>
      <c r="AA453" s="18"/>
    </row>
    <row r="454" ht="21.0" customHeight="1">
      <c r="A454" s="18"/>
      <c r="B454" s="33"/>
      <c r="C454" s="34"/>
      <c r="D454" s="33"/>
      <c r="E454" s="18"/>
      <c r="F454" s="16"/>
      <c r="G454" s="16"/>
      <c r="H454" s="16"/>
      <c r="I454" s="16"/>
      <c r="J454" s="16"/>
      <c r="K454" s="16"/>
      <c r="L454" s="37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38"/>
      <c r="Z454" s="34"/>
      <c r="AA454" s="18"/>
    </row>
    <row r="455" ht="21.0" customHeight="1">
      <c r="A455" s="18"/>
      <c r="B455" s="33"/>
      <c r="C455" s="34"/>
      <c r="D455" s="33"/>
      <c r="E455" s="18"/>
      <c r="F455" s="16"/>
      <c r="G455" s="16"/>
      <c r="H455" s="16"/>
      <c r="I455" s="16"/>
      <c r="J455" s="16"/>
      <c r="K455" s="16"/>
      <c r="L455" s="37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38"/>
      <c r="Z455" s="34"/>
      <c r="AA455" s="18"/>
    </row>
    <row r="456" ht="21.0" customHeight="1">
      <c r="A456" s="18"/>
      <c r="B456" s="33"/>
      <c r="C456" s="34"/>
      <c r="D456" s="33"/>
      <c r="E456" s="18"/>
      <c r="F456" s="16"/>
      <c r="G456" s="16"/>
      <c r="H456" s="16"/>
      <c r="I456" s="16"/>
      <c r="J456" s="16"/>
      <c r="K456" s="16"/>
      <c r="L456" s="37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38"/>
      <c r="Z456" s="34"/>
      <c r="AA456" s="18"/>
    </row>
    <row r="457" ht="21.0" customHeight="1">
      <c r="A457" s="18"/>
      <c r="B457" s="33"/>
      <c r="C457" s="34"/>
      <c r="D457" s="33"/>
      <c r="E457" s="18"/>
      <c r="F457" s="16"/>
      <c r="G457" s="16"/>
      <c r="H457" s="16"/>
      <c r="I457" s="16"/>
      <c r="J457" s="16"/>
      <c r="K457" s="16"/>
      <c r="L457" s="37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38"/>
      <c r="Z457" s="34"/>
      <c r="AA457" s="18"/>
    </row>
    <row r="458" ht="21.0" customHeight="1">
      <c r="A458" s="18"/>
      <c r="B458" s="33"/>
      <c r="C458" s="34"/>
      <c r="D458" s="33"/>
      <c r="E458" s="18"/>
      <c r="F458" s="16"/>
      <c r="G458" s="16"/>
      <c r="H458" s="16"/>
      <c r="I458" s="16"/>
      <c r="J458" s="16"/>
      <c r="K458" s="16"/>
      <c r="L458" s="37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38"/>
      <c r="Z458" s="34"/>
      <c r="AA458" s="18"/>
    </row>
    <row r="459" ht="21.0" customHeight="1">
      <c r="A459" s="18"/>
      <c r="B459" s="33"/>
      <c r="C459" s="34"/>
      <c r="D459" s="33"/>
      <c r="E459" s="18"/>
      <c r="F459" s="16"/>
      <c r="G459" s="16"/>
      <c r="H459" s="16"/>
      <c r="I459" s="16"/>
      <c r="J459" s="16"/>
      <c r="K459" s="16"/>
      <c r="L459" s="37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38"/>
      <c r="Z459" s="34"/>
      <c r="AA459" s="18"/>
    </row>
    <row r="460" ht="21.0" customHeight="1">
      <c r="A460" s="18"/>
      <c r="B460" s="33"/>
      <c r="C460" s="34"/>
      <c r="D460" s="33"/>
      <c r="E460" s="18"/>
      <c r="F460" s="16"/>
      <c r="G460" s="16"/>
      <c r="H460" s="16"/>
      <c r="I460" s="16"/>
      <c r="J460" s="16"/>
      <c r="K460" s="16"/>
      <c r="L460" s="37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38"/>
      <c r="Z460" s="34"/>
      <c r="AA460" s="18"/>
    </row>
    <row r="461" ht="21.0" customHeight="1">
      <c r="A461" s="18"/>
      <c r="B461" s="33"/>
      <c r="C461" s="34"/>
      <c r="D461" s="33"/>
      <c r="E461" s="18"/>
      <c r="F461" s="16"/>
      <c r="G461" s="16"/>
      <c r="H461" s="16"/>
      <c r="I461" s="16"/>
      <c r="J461" s="16"/>
      <c r="K461" s="16"/>
      <c r="L461" s="37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38"/>
      <c r="Z461" s="34"/>
      <c r="AA461" s="18"/>
    </row>
    <row r="462" ht="21.0" customHeight="1">
      <c r="A462" s="18"/>
      <c r="B462" s="33"/>
      <c r="C462" s="34"/>
      <c r="D462" s="33"/>
      <c r="E462" s="18"/>
      <c r="F462" s="16"/>
      <c r="G462" s="16"/>
      <c r="H462" s="16"/>
      <c r="I462" s="16"/>
      <c r="J462" s="16"/>
      <c r="K462" s="16"/>
      <c r="L462" s="37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38"/>
      <c r="Z462" s="34"/>
      <c r="AA462" s="18"/>
    </row>
    <row r="463" ht="21.0" customHeight="1">
      <c r="A463" s="18"/>
      <c r="B463" s="33"/>
      <c r="C463" s="34"/>
      <c r="D463" s="33"/>
      <c r="E463" s="18"/>
      <c r="F463" s="16"/>
      <c r="G463" s="16"/>
      <c r="H463" s="16"/>
      <c r="I463" s="16"/>
      <c r="J463" s="16"/>
      <c r="K463" s="16"/>
      <c r="L463" s="37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38"/>
      <c r="Z463" s="34"/>
      <c r="AA463" s="18"/>
    </row>
    <row r="464" ht="21.0" customHeight="1">
      <c r="A464" s="18"/>
      <c r="B464" s="33"/>
      <c r="C464" s="34"/>
      <c r="D464" s="33"/>
      <c r="E464" s="18"/>
      <c r="F464" s="16"/>
      <c r="G464" s="16"/>
      <c r="H464" s="16"/>
      <c r="I464" s="16"/>
      <c r="J464" s="16"/>
      <c r="K464" s="16"/>
      <c r="L464" s="37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38"/>
      <c r="Z464" s="34"/>
      <c r="AA464" s="18"/>
    </row>
    <row r="465" ht="21.0" customHeight="1">
      <c r="A465" s="18"/>
      <c r="B465" s="33"/>
      <c r="C465" s="34"/>
      <c r="D465" s="33"/>
      <c r="E465" s="18"/>
      <c r="F465" s="16"/>
      <c r="G465" s="16"/>
      <c r="H465" s="16"/>
      <c r="I465" s="16"/>
      <c r="J465" s="16"/>
      <c r="K465" s="16"/>
      <c r="L465" s="37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38"/>
      <c r="Z465" s="34"/>
      <c r="AA465" s="18"/>
    </row>
    <row r="466" ht="21.0" customHeight="1">
      <c r="A466" s="18"/>
      <c r="B466" s="33"/>
      <c r="C466" s="34"/>
      <c r="D466" s="33"/>
      <c r="E466" s="18"/>
      <c r="F466" s="16"/>
      <c r="G466" s="16"/>
      <c r="H466" s="16"/>
      <c r="I466" s="16"/>
      <c r="J466" s="16"/>
      <c r="K466" s="16"/>
      <c r="L466" s="37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38"/>
      <c r="Z466" s="34"/>
      <c r="AA466" s="18"/>
    </row>
    <row r="467" ht="21.0" customHeight="1">
      <c r="A467" s="18"/>
      <c r="B467" s="33"/>
      <c r="C467" s="34"/>
      <c r="D467" s="33"/>
      <c r="E467" s="18"/>
      <c r="F467" s="16"/>
      <c r="G467" s="16"/>
      <c r="H467" s="16"/>
      <c r="I467" s="16"/>
      <c r="J467" s="16"/>
      <c r="K467" s="16"/>
      <c r="L467" s="37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38"/>
      <c r="Z467" s="34"/>
      <c r="AA467" s="18"/>
    </row>
    <row r="468" ht="21.0" customHeight="1">
      <c r="A468" s="18"/>
      <c r="B468" s="33"/>
      <c r="C468" s="34"/>
      <c r="D468" s="33"/>
      <c r="E468" s="18"/>
      <c r="F468" s="16"/>
      <c r="G468" s="16"/>
      <c r="H468" s="16"/>
      <c r="I468" s="16"/>
      <c r="J468" s="16"/>
      <c r="K468" s="16"/>
      <c r="L468" s="37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38"/>
      <c r="Z468" s="34"/>
      <c r="AA468" s="18"/>
    </row>
    <row r="469" ht="21.0" customHeight="1">
      <c r="A469" s="18"/>
      <c r="B469" s="33"/>
      <c r="C469" s="34"/>
      <c r="D469" s="33"/>
      <c r="E469" s="18"/>
      <c r="F469" s="16"/>
      <c r="G469" s="16"/>
      <c r="H469" s="16"/>
      <c r="I469" s="16"/>
      <c r="J469" s="16"/>
      <c r="K469" s="16"/>
      <c r="L469" s="37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38"/>
      <c r="Z469" s="34"/>
      <c r="AA469" s="18"/>
    </row>
    <row r="470" ht="21.0" customHeight="1">
      <c r="A470" s="18"/>
      <c r="B470" s="33"/>
      <c r="C470" s="34"/>
      <c r="D470" s="33"/>
      <c r="E470" s="18"/>
      <c r="F470" s="16"/>
      <c r="G470" s="16"/>
      <c r="H470" s="16"/>
      <c r="I470" s="16"/>
      <c r="J470" s="16"/>
      <c r="K470" s="16"/>
      <c r="L470" s="37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38"/>
      <c r="Z470" s="34"/>
      <c r="AA470" s="18"/>
    </row>
    <row r="471" ht="21.0" customHeight="1">
      <c r="A471" s="18"/>
      <c r="B471" s="33"/>
      <c r="C471" s="34"/>
      <c r="D471" s="33"/>
      <c r="E471" s="18"/>
      <c r="F471" s="16"/>
      <c r="G471" s="16"/>
      <c r="H471" s="16"/>
      <c r="I471" s="16"/>
      <c r="J471" s="16"/>
      <c r="K471" s="16"/>
      <c r="L471" s="37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38"/>
      <c r="Z471" s="34"/>
      <c r="AA471" s="18"/>
    </row>
    <row r="472" ht="21.0" customHeight="1">
      <c r="A472" s="18"/>
      <c r="B472" s="33"/>
      <c r="C472" s="34"/>
      <c r="D472" s="33"/>
      <c r="E472" s="18"/>
      <c r="F472" s="16"/>
      <c r="G472" s="16"/>
      <c r="H472" s="16"/>
      <c r="I472" s="16"/>
      <c r="J472" s="16"/>
      <c r="K472" s="16"/>
      <c r="L472" s="37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38"/>
      <c r="Z472" s="34"/>
      <c r="AA472" s="18"/>
    </row>
    <row r="473" ht="21.0" customHeight="1">
      <c r="A473" s="18"/>
      <c r="B473" s="33"/>
      <c r="C473" s="34"/>
      <c r="D473" s="33"/>
      <c r="E473" s="18"/>
      <c r="F473" s="16"/>
      <c r="G473" s="16"/>
      <c r="H473" s="16"/>
      <c r="I473" s="16"/>
      <c r="J473" s="16"/>
      <c r="K473" s="16"/>
      <c r="L473" s="37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38"/>
      <c r="Z473" s="34"/>
      <c r="AA473" s="18"/>
    </row>
    <row r="474" ht="21.0" customHeight="1">
      <c r="A474" s="18"/>
      <c r="B474" s="33"/>
      <c r="C474" s="34"/>
      <c r="D474" s="33"/>
      <c r="E474" s="18"/>
      <c r="F474" s="16"/>
      <c r="G474" s="16"/>
      <c r="H474" s="16"/>
      <c r="I474" s="16"/>
      <c r="J474" s="16"/>
      <c r="K474" s="16"/>
      <c r="L474" s="37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38"/>
      <c r="Z474" s="34"/>
      <c r="AA474" s="18"/>
    </row>
    <row r="475" ht="21.0" customHeight="1">
      <c r="A475" s="18"/>
      <c r="B475" s="33"/>
      <c r="C475" s="34"/>
      <c r="D475" s="33"/>
      <c r="E475" s="18"/>
      <c r="F475" s="16"/>
      <c r="G475" s="16"/>
      <c r="H475" s="16"/>
      <c r="I475" s="16"/>
      <c r="J475" s="16"/>
      <c r="K475" s="16"/>
      <c r="L475" s="37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38"/>
      <c r="Z475" s="34"/>
      <c r="AA475" s="18"/>
    </row>
    <row r="476" ht="21.0" customHeight="1">
      <c r="A476" s="18"/>
      <c r="B476" s="33"/>
      <c r="C476" s="34"/>
      <c r="D476" s="33"/>
      <c r="E476" s="18"/>
      <c r="F476" s="16"/>
      <c r="G476" s="16"/>
      <c r="H476" s="16"/>
      <c r="I476" s="16"/>
      <c r="J476" s="16"/>
      <c r="K476" s="16"/>
      <c r="L476" s="37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38"/>
      <c r="Z476" s="34"/>
      <c r="AA476" s="18"/>
    </row>
    <row r="477" ht="21.0" customHeight="1">
      <c r="A477" s="18"/>
      <c r="B477" s="33"/>
      <c r="C477" s="34"/>
      <c r="D477" s="33"/>
      <c r="E477" s="18"/>
      <c r="F477" s="16"/>
      <c r="G477" s="16"/>
      <c r="H477" s="16"/>
      <c r="I477" s="16"/>
      <c r="J477" s="16"/>
      <c r="K477" s="16"/>
      <c r="L477" s="37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38"/>
      <c r="Z477" s="34"/>
      <c r="AA477" s="18"/>
    </row>
    <row r="478" ht="21.0" customHeight="1">
      <c r="A478" s="18"/>
      <c r="B478" s="33"/>
      <c r="C478" s="34"/>
      <c r="D478" s="33"/>
      <c r="E478" s="18"/>
      <c r="F478" s="16"/>
      <c r="G478" s="16"/>
      <c r="H478" s="16"/>
      <c r="I478" s="16"/>
      <c r="J478" s="16"/>
      <c r="K478" s="16"/>
      <c r="L478" s="37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38"/>
      <c r="Z478" s="34"/>
      <c r="AA478" s="18"/>
    </row>
    <row r="479" ht="21.0" customHeight="1">
      <c r="A479" s="18"/>
      <c r="B479" s="33"/>
      <c r="C479" s="34"/>
      <c r="D479" s="33"/>
      <c r="E479" s="18"/>
      <c r="F479" s="16"/>
      <c r="G479" s="16"/>
      <c r="H479" s="16"/>
      <c r="I479" s="16"/>
      <c r="J479" s="16"/>
      <c r="K479" s="16"/>
      <c r="L479" s="37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38"/>
      <c r="Z479" s="34"/>
      <c r="AA479" s="18"/>
    </row>
    <row r="480" ht="21.0" customHeight="1">
      <c r="A480" s="18"/>
      <c r="B480" s="33"/>
      <c r="C480" s="34"/>
      <c r="D480" s="33"/>
      <c r="E480" s="18"/>
      <c r="F480" s="16"/>
      <c r="G480" s="16"/>
      <c r="H480" s="16"/>
      <c r="I480" s="16"/>
      <c r="J480" s="16"/>
      <c r="K480" s="16"/>
      <c r="L480" s="37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38"/>
      <c r="Z480" s="34"/>
      <c r="AA480" s="18"/>
    </row>
    <row r="481" ht="21.0" customHeight="1">
      <c r="A481" s="18"/>
      <c r="B481" s="33"/>
      <c r="C481" s="34"/>
      <c r="D481" s="33"/>
      <c r="E481" s="18"/>
      <c r="F481" s="16"/>
      <c r="G481" s="16"/>
      <c r="H481" s="16"/>
      <c r="I481" s="16"/>
      <c r="J481" s="16"/>
      <c r="K481" s="16"/>
      <c r="L481" s="37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38"/>
      <c r="Z481" s="34"/>
      <c r="AA481" s="18"/>
    </row>
    <row r="482" ht="21.0" customHeight="1">
      <c r="A482" s="18"/>
      <c r="B482" s="33"/>
      <c r="C482" s="34"/>
      <c r="D482" s="33"/>
      <c r="E482" s="18"/>
      <c r="F482" s="16"/>
      <c r="G482" s="16"/>
      <c r="H482" s="16"/>
      <c r="I482" s="16"/>
      <c r="J482" s="16"/>
      <c r="K482" s="16"/>
      <c r="L482" s="37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38"/>
      <c r="Z482" s="34"/>
      <c r="AA482" s="18"/>
    </row>
    <row r="483" ht="21.0" customHeight="1">
      <c r="A483" s="18"/>
      <c r="B483" s="33"/>
      <c r="C483" s="34"/>
      <c r="D483" s="33"/>
      <c r="E483" s="18"/>
      <c r="F483" s="16"/>
      <c r="G483" s="16"/>
      <c r="H483" s="16"/>
      <c r="I483" s="16"/>
      <c r="J483" s="16"/>
      <c r="K483" s="16"/>
      <c r="L483" s="37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38"/>
      <c r="Z483" s="34"/>
      <c r="AA483" s="18"/>
    </row>
    <row r="484" ht="21.0" customHeight="1">
      <c r="A484" s="18"/>
      <c r="B484" s="33"/>
      <c r="C484" s="34"/>
      <c r="D484" s="33"/>
      <c r="E484" s="18"/>
      <c r="F484" s="16"/>
      <c r="G484" s="16"/>
      <c r="H484" s="16"/>
      <c r="I484" s="16"/>
      <c r="J484" s="16"/>
      <c r="K484" s="16"/>
      <c r="L484" s="37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38"/>
      <c r="Z484" s="34"/>
      <c r="AA484" s="18"/>
    </row>
    <row r="485" ht="21.0" customHeight="1">
      <c r="A485" s="18"/>
      <c r="B485" s="33"/>
      <c r="C485" s="34"/>
      <c r="D485" s="33"/>
      <c r="E485" s="18"/>
      <c r="F485" s="16"/>
      <c r="G485" s="16"/>
      <c r="H485" s="16"/>
      <c r="I485" s="16"/>
      <c r="J485" s="16"/>
      <c r="K485" s="16"/>
      <c r="L485" s="37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38"/>
      <c r="Z485" s="34"/>
      <c r="AA485" s="18"/>
    </row>
    <row r="486" ht="21.0" customHeight="1">
      <c r="A486" s="18"/>
      <c r="B486" s="33"/>
      <c r="C486" s="34"/>
      <c r="D486" s="33"/>
      <c r="E486" s="18"/>
      <c r="F486" s="16"/>
      <c r="G486" s="16"/>
      <c r="H486" s="16"/>
      <c r="I486" s="16"/>
      <c r="J486" s="16"/>
      <c r="K486" s="16"/>
      <c r="L486" s="37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38"/>
      <c r="Z486" s="34"/>
      <c r="AA486" s="18"/>
    </row>
    <row r="487" ht="21.0" customHeight="1">
      <c r="A487" s="18"/>
      <c r="B487" s="33"/>
      <c r="C487" s="34"/>
      <c r="D487" s="33"/>
      <c r="E487" s="18"/>
      <c r="F487" s="16"/>
      <c r="G487" s="16"/>
      <c r="H487" s="16"/>
      <c r="I487" s="16"/>
      <c r="J487" s="16"/>
      <c r="K487" s="16"/>
      <c r="L487" s="37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38"/>
      <c r="Z487" s="34"/>
      <c r="AA487" s="18"/>
    </row>
    <row r="488" ht="21.0" customHeight="1">
      <c r="A488" s="18"/>
      <c r="B488" s="33"/>
      <c r="C488" s="34"/>
      <c r="D488" s="33"/>
      <c r="E488" s="18"/>
      <c r="F488" s="16"/>
      <c r="G488" s="16"/>
      <c r="H488" s="16"/>
      <c r="I488" s="16"/>
      <c r="J488" s="16"/>
      <c r="K488" s="16"/>
      <c r="L488" s="37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38"/>
      <c r="Z488" s="34"/>
      <c r="AA488" s="18"/>
    </row>
    <row r="489" ht="21.0" customHeight="1">
      <c r="A489" s="18"/>
      <c r="B489" s="33"/>
      <c r="C489" s="34"/>
      <c r="D489" s="33"/>
      <c r="E489" s="18"/>
      <c r="F489" s="16"/>
      <c r="G489" s="16"/>
      <c r="H489" s="16"/>
      <c r="I489" s="16"/>
      <c r="J489" s="16"/>
      <c r="K489" s="16"/>
      <c r="L489" s="37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38"/>
      <c r="Z489" s="34"/>
      <c r="AA489" s="18"/>
    </row>
    <row r="490" ht="21.0" customHeight="1">
      <c r="A490" s="18"/>
      <c r="B490" s="33"/>
      <c r="C490" s="34"/>
      <c r="D490" s="33"/>
      <c r="E490" s="18"/>
      <c r="F490" s="16"/>
      <c r="G490" s="16"/>
      <c r="H490" s="16"/>
      <c r="I490" s="16"/>
      <c r="J490" s="16"/>
      <c r="K490" s="16"/>
      <c r="L490" s="37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38"/>
      <c r="Z490" s="34"/>
      <c r="AA490" s="18"/>
    </row>
    <row r="491" ht="21.0" customHeight="1">
      <c r="A491" s="18"/>
      <c r="B491" s="33"/>
      <c r="C491" s="34"/>
      <c r="D491" s="33"/>
      <c r="E491" s="18"/>
      <c r="F491" s="16"/>
      <c r="G491" s="16"/>
      <c r="H491" s="16"/>
      <c r="I491" s="16"/>
      <c r="J491" s="16"/>
      <c r="K491" s="16"/>
      <c r="L491" s="37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38"/>
      <c r="Z491" s="34"/>
      <c r="AA491" s="18"/>
    </row>
    <row r="492" ht="21.0" customHeight="1">
      <c r="A492" s="18"/>
      <c r="B492" s="33"/>
      <c r="C492" s="34"/>
      <c r="D492" s="33"/>
      <c r="E492" s="18"/>
      <c r="F492" s="16"/>
      <c r="G492" s="16"/>
      <c r="H492" s="16"/>
      <c r="I492" s="16"/>
      <c r="J492" s="16"/>
      <c r="K492" s="16"/>
      <c r="L492" s="37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38"/>
      <c r="Z492" s="34"/>
      <c r="AA492" s="18"/>
    </row>
    <row r="493" ht="21.0" customHeight="1">
      <c r="A493" s="18"/>
      <c r="B493" s="33"/>
      <c r="C493" s="34"/>
      <c r="D493" s="33"/>
      <c r="E493" s="18"/>
      <c r="F493" s="16"/>
      <c r="G493" s="16"/>
      <c r="H493" s="16"/>
      <c r="I493" s="16"/>
      <c r="J493" s="16"/>
      <c r="K493" s="16"/>
      <c r="L493" s="37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38"/>
      <c r="Z493" s="34"/>
      <c r="AA493" s="18"/>
    </row>
    <row r="494" ht="21.0" customHeight="1">
      <c r="A494" s="18"/>
      <c r="B494" s="33"/>
      <c r="C494" s="34"/>
      <c r="D494" s="33"/>
      <c r="E494" s="18"/>
      <c r="F494" s="16"/>
      <c r="G494" s="16"/>
      <c r="H494" s="16"/>
      <c r="I494" s="16"/>
      <c r="J494" s="16"/>
      <c r="K494" s="16"/>
      <c r="L494" s="37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38"/>
      <c r="Z494" s="34"/>
      <c r="AA494" s="18"/>
    </row>
    <row r="495" ht="21.0" customHeight="1">
      <c r="A495" s="18"/>
      <c r="B495" s="33"/>
      <c r="C495" s="34"/>
      <c r="D495" s="33"/>
      <c r="E495" s="18"/>
      <c r="F495" s="16"/>
      <c r="G495" s="16"/>
      <c r="H495" s="16"/>
      <c r="I495" s="16"/>
      <c r="J495" s="16"/>
      <c r="K495" s="16"/>
      <c r="L495" s="37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38"/>
      <c r="Z495" s="34"/>
      <c r="AA495" s="18"/>
    </row>
    <row r="496" ht="21.0" customHeight="1">
      <c r="A496" s="18"/>
      <c r="B496" s="33"/>
      <c r="C496" s="34"/>
      <c r="D496" s="33"/>
      <c r="E496" s="18"/>
      <c r="F496" s="16"/>
      <c r="G496" s="16"/>
      <c r="H496" s="16"/>
      <c r="I496" s="16"/>
      <c r="J496" s="16"/>
      <c r="K496" s="16"/>
      <c r="L496" s="37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38"/>
      <c r="Z496" s="34"/>
      <c r="AA496" s="18"/>
    </row>
    <row r="497" ht="21.0" customHeight="1">
      <c r="A497" s="18"/>
      <c r="B497" s="33"/>
      <c r="C497" s="34"/>
      <c r="D497" s="33"/>
      <c r="E497" s="18"/>
      <c r="F497" s="16"/>
      <c r="G497" s="16"/>
      <c r="H497" s="16"/>
      <c r="I497" s="16"/>
      <c r="J497" s="16"/>
      <c r="K497" s="16"/>
      <c r="L497" s="37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38"/>
      <c r="Z497" s="34"/>
      <c r="AA497" s="18"/>
    </row>
    <row r="498" ht="21.0" customHeight="1">
      <c r="A498" s="18"/>
      <c r="B498" s="33"/>
      <c r="C498" s="34"/>
      <c r="D498" s="33"/>
      <c r="E498" s="18"/>
      <c r="F498" s="16"/>
      <c r="G498" s="16"/>
      <c r="H498" s="16"/>
      <c r="I498" s="16"/>
      <c r="J498" s="16"/>
      <c r="K498" s="16"/>
      <c r="L498" s="37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38"/>
      <c r="Z498" s="34"/>
      <c r="AA498" s="18"/>
    </row>
    <row r="499" ht="21.0" customHeight="1">
      <c r="A499" s="18"/>
      <c r="B499" s="33"/>
      <c r="C499" s="34"/>
      <c r="D499" s="33"/>
      <c r="E499" s="18"/>
      <c r="F499" s="16"/>
      <c r="G499" s="16"/>
      <c r="H499" s="16"/>
      <c r="I499" s="16"/>
      <c r="J499" s="16"/>
      <c r="K499" s="16"/>
      <c r="L499" s="37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38"/>
      <c r="Z499" s="34"/>
      <c r="AA499" s="18"/>
    </row>
    <row r="500" ht="21.0" customHeight="1">
      <c r="A500" s="18"/>
      <c r="B500" s="33"/>
      <c r="C500" s="34"/>
      <c r="D500" s="33"/>
      <c r="E500" s="18"/>
      <c r="F500" s="16"/>
      <c r="G500" s="16"/>
      <c r="H500" s="16"/>
      <c r="I500" s="16"/>
      <c r="J500" s="16"/>
      <c r="K500" s="16"/>
      <c r="L500" s="37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38"/>
      <c r="Z500" s="34"/>
      <c r="AA500" s="18"/>
    </row>
    <row r="501" ht="21.0" customHeight="1">
      <c r="A501" s="18"/>
      <c r="B501" s="33"/>
      <c r="C501" s="34"/>
      <c r="D501" s="33"/>
      <c r="E501" s="18"/>
      <c r="F501" s="16"/>
      <c r="G501" s="16"/>
      <c r="H501" s="16"/>
      <c r="I501" s="16"/>
      <c r="J501" s="16"/>
      <c r="K501" s="16"/>
      <c r="L501" s="37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38"/>
      <c r="Z501" s="34"/>
      <c r="AA501" s="18"/>
    </row>
    <row r="502" ht="21.0" customHeight="1">
      <c r="A502" s="18"/>
      <c r="B502" s="33"/>
      <c r="C502" s="34"/>
      <c r="D502" s="33"/>
      <c r="E502" s="18"/>
      <c r="F502" s="16"/>
      <c r="G502" s="16"/>
      <c r="H502" s="16"/>
      <c r="I502" s="16"/>
      <c r="J502" s="16"/>
      <c r="K502" s="16"/>
      <c r="L502" s="37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38"/>
      <c r="Z502" s="34"/>
      <c r="AA502" s="18"/>
    </row>
    <row r="503" ht="21.0" customHeight="1">
      <c r="A503" s="18"/>
      <c r="B503" s="33"/>
      <c r="C503" s="34"/>
      <c r="D503" s="33"/>
      <c r="E503" s="18"/>
      <c r="F503" s="16"/>
      <c r="G503" s="16"/>
      <c r="H503" s="16"/>
      <c r="I503" s="16"/>
      <c r="J503" s="16"/>
      <c r="K503" s="16"/>
      <c r="L503" s="37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38"/>
      <c r="Z503" s="34"/>
      <c r="AA503" s="18"/>
    </row>
    <row r="504" ht="21.0" customHeight="1">
      <c r="A504" s="18"/>
      <c r="B504" s="33"/>
      <c r="C504" s="34"/>
      <c r="D504" s="33"/>
      <c r="E504" s="18"/>
      <c r="F504" s="16"/>
      <c r="G504" s="16"/>
      <c r="H504" s="16"/>
      <c r="I504" s="16"/>
      <c r="J504" s="16"/>
      <c r="K504" s="16"/>
      <c r="L504" s="37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38"/>
      <c r="Z504" s="34"/>
      <c r="AA504" s="18"/>
    </row>
    <row r="505" ht="21.0" customHeight="1">
      <c r="A505" s="18"/>
      <c r="B505" s="33"/>
      <c r="C505" s="34"/>
      <c r="D505" s="33"/>
      <c r="E505" s="18"/>
      <c r="F505" s="16"/>
      <c r="G505" s="16"/>
      <c r="H505" s="16"/>
      <c r="I505" s="16"/>
      <c r="J505" s="16"/>
      <c r="K505" s="16"/>
      <c r="L505" s="37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38"/>
      <c r="Z505" s="34"/>
      <c r="AA505" s="18"/>
    </row>
    <row r="506" ht="21.0" customHeight="1">
      <c r="A506" s="18"/>
      <c r="B506" s="33"/>
      <c r="C506" s="34"/>
      <c r="D506" s="33"/>
      <c r="E506" s="18"/>
      <c r="F506" s="16"/>
      <c r="G506" s="16"/>
      <c r="H506" s="16"/>
      <c r="I506" s="16"/>
      <c r="J506" s="16"/>
      <c r="K506" s="16"/>
      <c r="L506" s="37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38"/>
      <c r="Z506" s="34"/>
      <c r="AA506" s="18"/>
    </row>
    <row r="507" ht="21.0" customHeight="1">
      <c r="A507" s="18"/>
      <c r="B507" s="33"/>
      <c r="C507" s="34"/>
      <c r="D507" s="33"/>
      <c r="E507" s="18"/>
      <c r="F507" s="16"/>
      <c r="G507" s="16"/>
      <c r="H507" s="16"/>
      <c r="I507" s="16"/>
      <c r="J507" s="16"/>
      <c r="K507" s="16"/>
      <c r="L507" s="37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38"/>
      <c r="Z507" s="34"/>
      <c r="AA507" s="18"/>
    </row>
    <row r="508" ht="21.0" customHeight="1">
      <c r="A508" s="18"/>
      <c r="B508" s="33"/>
      <c r="C508" s="34"/>
      <c r="D508" s="33"/>
      <c r="E508" s="18"/>
      <c r="F508" s="16"/>
      <c r="G508" s="16"/>
      <c r="H508" s="16"/>
      <c r="I508" s="16"/>
      <c r="J508" s="16"/>
      <c r="K508" s="16"/>
      <c r="L508" s="37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38"/>
      <c r="Z508" s="34"/>
      <c r="AA508" s="18"/>
    </row>
    <row r="509" ht="21.0" customHeight="1">
      <c r="A509" s="18"/>
      <c r="B509" s="33"/>
      <c r="C509" s="34"/>
      <c r="D509" s="33"/>
      <c r="E509" s="18"/>
      <c r="F509" s="16"/>
      <c r="G509" s="16"/>
      <c r="H509" s="16"/>
      <c r="I509" s="16"/>
      <c r="J509" s="16"/>
      <c r="K509" s="16"/>
      <c r="L509" s="37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38"/>
      <c r="Z509" s="34"/>
      <c r="AA509" s="18"/>
    </row>
    <row r="510" ht="21.0" customHeight="1">
      <c r="A510" s="18"/>
      <c r="B510" s="33"/>
      <c r="C510" s="34"/>
      <c r="D510" s="33"/>
      <c r="E510" s="18"/>
      <c r="F510" s="16"/>
      <c r="G510" s="16"/>
      <c r="H510" s="16"/>
      <c r="I510" s="16"/>
      <c r="J510" s="16"/>
      <c r="K510" s="16"/>
      <c r="L510" s="37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38"/>
      <c r="Z510" s="34"/>
      <c r="AA510" s="18"/>
    </row>
    <row r="511" ht="21.0" customHeight="1">
      <c r="A511" s="18"/>
      <c r="B511" s="33"/>
      <c r="C511" s="34"/>
      <c r="D511" s="33"/>
      <c r="E511" s="18"/>
      <c r="F511" s="16"/>
      <c r="G511" s="16"/>
      <c r="H511" s="16"/>
      <c r="I511" s="16"/>
      <c r="J511" s="16"/>
      <c r="K511" s="16"/>
      <c r="L511" s="37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38"/>
      <c r="Z511" s="34"/>
      <c r="AA511" s="18"/>
    </row>
    <row r="512" ht="21.0" customHeight="1">
      <c r="A512" s="18"/>
      <c r="B512" s="33"/>
      <c r="C512" s="34"/>
      <c r="D512" s="33"/>
      <c r="E512" s="18"/>
      <c r="F512" s="16"/>
      <c r="G512" s="16"/>
      <c r="H512" s="16"/>
      <c r="I512" s="16"/>
      <c r="J512" s="16"/>
      <c r="K512" s="16"/>
      <c r="L512" s="37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38"/>
      <c r="Z512" s="34"/>
      <c r="AA512" s="18"/>
    </row>
    <row r="513" ht="21.0" customHeight="1">
      <c r="A513" s="18"/>
      <c r="B513" s="33"/>
      <c r="C513" s="34"/>
      <c r="D513" s="33"/>
      <c r="E513" s="18"/>
      <c r="F513" s="16"/>
      <c r="G513" s="16"/>
      <c r="H513" s="16"/>
      <c r="I513" s="16"/>
      <c r="J513" s="16"/>
      <c r="K513" s="16"/>
      <c r="L513" s="37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38"/>
      <c r="Z513" s="34"/>
      <c r="AA513" s="18"/>
    </row>
    <row r="514" ht="21.0" customHeight="1">
      <c r="A514" s="18"/>
      <c r="B514" s="33"/>
      <c r="C514" s="34"/>
      <c r="D514" s="33"/>
      <c r="E514" s="18"/>
      <c r="F514" s="16"/>
      <c r="G514" s="16"/>
      <c r="H514" s="16"/>
      <c r="I514" s="16"/>
      <c r="J514" s="16"/>
      <c r="K514" s="16"/>
      <c r="L514" s="37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38"/>
      <c r="Z514" s="34"/>
      <c r="AA514" s="18"/>
    </row>
    <row r="515" ht="21.0" customHeight="1">
      <c r="A515" s="18"/>
      <c r="B515" s="33"/>
      <c r="C515" s="34"/>
      <c r="D515" s="33"/>
      <c r="E515" s="18"/>
      <c r="F515" s="16"/>
      <c r="G515" s="16"/>
      <c r="H515" s="16"/>
      <c r="I515" s="16"/>
      <c r="J515" s="16"/>
      <c r="K515" s="16"/>
      <c r="L515" s="37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38"/>
      <c r="Z515" s="34"/>
      <c r="AA515" s="18"/>
    </row>
    <row r="516" ht="21.0" customHeight="1">
      <c r="A516" s="18"/>
      <c r="B516" s="33"/>
      <c r="C516" s="34"/>
      <c r="D516" s="33"/>
      <c r="E516" s="18"/>
      <c r="F516" s="16"/>
      <c r="G516" s="16"/>
      <c r="H516" s="16"/>
      <c r="I516" s="16"/>
      <c r="J516" s="16"/>
      <c r="K516" s="16"/>
      <c r="L516" s="37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38"/>
      <c r="Z516" s="34"/>
      <c r="AA516" s="18"/>
    </row>
    <row r="517" ht="21.0" customHeight="1">
      <c r="A517" s="18"/>
      <c r="B517" s="33"/>
      <c r="C517" s="34"/>
      <c r="D517" s="33"/>
      <c r="E517" s="18"/>
      <c r="F517" s="16"/>
      <c r="G517" s="16"/>
      <c r="H517" s="16"/>
      <c r="I517" s="16"/>
      <c r="J517" s="16"/>
      <c r="K517" s="16"/>
      <c r="L517" s="37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38"/>
      <c r="Z517" s="34"/>
      <c r="AA517" s="18"/>
    </row>
    <row r="518" ht="21.0" customHeight="1">
      <c r="A518" s="18"/>
      <c r="B518" s="33"/>
      <c r="C518" s="34"/>
      <c r="D518" s="33"/>
      <c r="E518" s="18"/>
      <c r="F518" s="16"/>
      <c r="G518" s="16"/>
      <c r="H518" s="16"/>
      <c r="I518" s="16"/>
      <c r="J518" s="16"/>
      <c r="K518" s="16"/>
      <c r="L518" s="37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38"/>
      <c r="Z518" s="34"/>
      <c r="AA518" s="18"/>
    </row>
    <row r="519" ht="21.0" customHeight="1">
      <c r="A519" s="18"/>
      <c r="B519" s="33"/>
      <c r="C519" s="34"/>
      <c r="D519" s="33"/>
      <c r="E519" s="18"/>
      <c r="F519" s="16"/>
      <c r="G519" s="16"/>
      <c r="H519" s="16"/>
      <c r="I519" s="16"/>
      <c r="J519" s="16"/>
      <c r="K519" s="16"/>
      <c r="L519" s="37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38"/>
      <c r="Z519" s="34"/>
      <c r="AA519" s="18"/>
    </row>
    <row r="520" ht="21.0" customHeight="1">
      <c r="A520" s="18"/>
      <c r="B520" s="33"/>
      <c r="C520" s="34"/>
      <c r="D520" s="33"/>
      <c r="E520" s="18"/>
      <c r="F520" s="16"/>
      <c r="G520" s="16"/>
      <c r="H520" s="16"/>
      <c r="I520" s="16"/>
      <c r="J520" s="16"/>
      <c r="K520" s="16"/>
      <c r="L520" s="37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38"/>
      <c r="Z520" s="34"/>
      <c r="AA520" s="18"/>
    </row>
    <row r="521" ht="21.0" customHeight="1">
      <c r="A521" s="18"/>
      <c r="B521" s="33"/>
      <c r="C521" s="34"/>
      <c r="D521" s="33"/>
      <c r="E521" s="18"/>
      <c r="F521" s="16"/>
      <c r="G521" s="16"/>
      <c r="H521" s="16"/>
      <c r="I521" s="16"/>
      <c r="J521" s="16"/>
      <c r="K521" s="16"/>
      <c r="L521" s="37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38"/>
      <c r="Z521" s="34"/>
      <c r="AA521" s="18"/>
    </row>
    <row r="522" ht="21.0" customHeight="1">
      <c r="A522" s="18"/>
      <c r="B522" s="33"/>
      <c r="C522" s="34"/>
      <c r="D522" s="33"/>
      <c r="E522" s="18"/>
      <c r="F522" s="16"/>
      <c r="G522" s="16"/>
      <c r="H522" s="16"/>
      <c r="I522" s="16"/>
      <c r="J522" s="16"/>
      <c r="K522" s="16"/>
      <c r="L522" s="37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38"/>
      <c r="Z522" s="34"/>
      <c r="AA522" s="18"/>
    </row>
    <row r="523" ht="21.0" customHeight="1">
      <c r="A523" s="18"/>
      <c r="B523" s="33"/>
      <c r="C523" s="34"/>
      <c r="D523" s="33"/>
      <c r="E523" s="18"/>
      <c r="F523" s="16"/>
      <c r="G523" s="16"/>
      <c r="H523" s="16"/>
      <c r="I523" s="16"/>
      <c r="J523" s="16"/>
      <c r="K523" s="16"/>
      <c r="L523" s="37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38"/>
      <c r="Z523" s="34"/>
      <c r="AA523" s="18"/>
    </row>
    <row r="524" ht="21.0" customHeight="1">
      <c r="A524" s="18"/>
      <c r="B524" s="33"/>
      <c r="C524" s="34"/>
      <c r="D524" s="33"/>
      <c r="E524" s="18"/>
      <c r="F524" s="16"/>
      <c r="G524" s="16"/>
      <c r="H524" s="16"/>
      <c r="I524" s="16"/>
      <c r="J524" s="16"/>
      <c r="K524" s="16"/>
      <c r="L524" s="37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38"/>
      <c r="Z524" s="34"/>
      <c r="AA524" s="18"/>
    </row>
    <row r="525" ht="21.0" customHeight="1">
      <c r="A525" s="18"/>
      <c r="B525" s="33"/>
      <c r="C525" s="34"/>
      <c r="D525" s="33"/>
      <c r="E525" s="18"/>
      <c r="F525" s="16"/>
      <c r="G525" s="16"/>
      <c r="H525" s="16"/>
      <c r="I525" s="16"/>
      <c r="J525" s="16"/>
      <c r="K525" s="16"/>
      <c r="L525" s="37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38"/>
      <c r="Z525" s="34"/>
      <c r="AA525" s="18"/>
    </row>
    <row r="526" ht="21.0" customHeight="1">
      <c r="A526" s="18"/>
      <c r="B526" s="33"/>
      <c r="C526" s="34"/>
      <c r="D526" s="33"/>
      <c r="E526" s="18"/>
      <c r="F526" s="16"/>
      <c r="G526" s="16"/>
      <c r="H526" s="16"/>
      <c r="I526" s="16"/>
      <c r="J526" s="16"/>
      <c r="K526" s="16"/>
      <c r="L526" s="37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38"/>
      <c r="Z526" s="34"/>
      <c r="AA526" s="18"/>
    </row>
    <row r="527" ht="21.0" customHeight="1">
      <c r="A527" s="18"/>
      <c r="B527" s="33"/>
      <c r="C527" s="34"/>
      <c r="D527" s="33"/>
      <c r="E527" s="18"/>
      <c r="F527" s="16"/>
      <c r="G527" s="16"/>
      <c r="H527" s="16"/>
      <c r="I527" s="16"/>
      <c r="J527" s="16"/>
      <c r="K527" s="16"/>
      <c r="L527" s="37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38"/>
      <c r="Z527" s="34"/>
      <c r="AA527" s="18"/>
    </row>
    <row r="528" ht="21.0" customHeight="1">
      <c r="A528" s="18"/>
      <c r="B528" s="33"/>
      <c r="C528" s="34"/>
      <c r="D528" s="33"/>
      <c r="E528" s="18"/>
      <c r="F528" s="16"/>
      <c r="G528" s="16"/>
      <c r="H528" s="16"/>
      <c r="I528" s="16"/>
      <c r="J528" s="16"/>
      <c r="K528" s="16"/>
      <c r="L528" s="37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38"/>
      <c r="Z528" s="34"/>
      <c r="AA528" s="18"/>
    </row>
    <row r="529" ht="21.0" customHeight="1">
      <c r="A529" s="18"/>
      <c r="B529" s="33"/>
      <c r="C529" s="34"/>
      <c r="D529" s="33"/>
      <c r="E529" s="18"/>
      <c r="F529" s="16"/>
      <c r="G529" s="16"/>
      <c r="H529" s="16"/>
      <c r="I529" s="16"/>
      <c r="J529" s="16"/>
      <c r="K529" s="16"/>
      <c r="L529" s="37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38"/>
      <c r="Z529" s="34"/>
      <c r="AA529" s="18"/>
    </row>
    <row r="530" ht="21.0" customHeight="1">
      <c r="A530" s="18"/>
      <c r="B530" s="33"/>
      <c r="C530" s="34"/>
      <c r="D530" s="33"/>
      <c r="E530" s="18"/>
      <c r="F530" s="16"/>
      <c r="G530" s="16"/>
      <c r="H530" s="16"/>
      <c r="I530" s="16"/>
      <c r="J530" s="16"/>
      <c r="K530" s="16"/>
      <c r="L530" s="37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38"/>
      <c r="Z530" s="34"/>
      <c r="AA530" s="18"/>
    </row>
    <row r="531" ht="21.0" customHeight="1">
      <c r="A531" s="18"/>
      <c r="B531" s="33"/>
      <c r="C531" s="34"/>
      <c r="D531" s="33"/>
      <c r="E531" s="18"/>
      <c r="F531" s="16"/>
      <c r="G531" s="16"/>
      <c r="H531" s="16"/>
      <c r="I531" s="16"/>
      <c r="J531" s="16"/>
      <c r="K531" s="16"/>
      <c r="L531" s="37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38"/>
      <c r="Z531" s="34"/>
      <c r="AA531" s="18"/>
    </row>
    <row r="532" ht="21.0" customHeight="1">
      <c r="A532" s="18"/>
      <c r="B532" s="33"/>
      <c r="C532" s="34"/>
      <c r="D532" s="33"/>
      <c r="E532" s="18"/>
      <c r="F532" s="16"/>
      <c r="G532" s="16"/>
      <c r="H532" s="16"/>
      <c r="I532" s="16"/>
      <c r="J532" s="16"/>
      <c r="K532" s="16"/>
      <c r="L532" s="37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38"/>
      <c r="Z532" s="34"/>
      <c r="AA532" s="18"/>
    </row>
    <row r="533" ht="21.0" customHeight="1">
      <c r="A533" s="18"/>
      <c r="B533" s="33"/>
      <c r="C533" s="34"/>
      <c r="D533" s="33"/>
      <c r="E533" s="18"/>
      <c r="F533" s="16"/>
      <c r="G533" s="16"/>
      <c r="H533" s="16"/>
      <c r="I533" s="16"/>
      <c r="J533" s="16"/>
      <c r="K533" s="16"/>
      <c r="L533" s="37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38"/>
      <c r="Z533" s="34"/>
      <c r="AA533" s="18"/>
    </row>
    <row r="534" ht="21.0" customHeight="1">
      <c r="A534" s="18"/>
      <c r="B534" s="33"/>
      <c r="C534" s="34"/>
      <c r="D534" s="33"/>
      <c r="E534" s="18"/>
      <c r="F534" s="16"/>
      <c r="G534" s="16"/>
      <c r="H534" s="16"/>
      <c r="I534" s="16"/>
      <c r="J534" s="16"/>
      <c r="K534" s="16"/>
      <c r="L534" s="37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38"/>
      <c r="Z534" s="34"/>
      <c r="AA534" s="18"/>
    </row>
    <row r="535" ht="21.0" customHeight="1">
      <c r="A535" s="18"/>
      <c r="B535" s="33"/>
      <c r="C535" s="34"/>
      <c r="D535" s="33"/>
      <c r="E535" s="18"/>
      <c r="F535" s="16"/>
      <c r="G535" s="16"/>
      <c r="H535" s="16"/>
      <c r="I535" s="16"/>
      <c r="J535" s="16"/>
      <c r="K535" s="16"/>
      <c r="L535" s="37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38"/>
      <c r="Z535" s="34"/>
      <c r="AA535" s="18"/>
    </row>
    <row r="536" ht="21.0" customHeight="1">
      <c r="A536" s="18"/>
      <c r="B536" s="33"/>
      <c r="C536" s="34"/>
      <c r="D536" s="33"/>
      <c r="E536" s="18"/>
      <c r="F536" s="16"/>
      <c r="G536" s="16"/>
      <c r="H536" s="16"/>
      <c r="I536" s="16"/>
      <c r="J536" s="16"/>
      <c r="K536" s="16"/>
      <c r="L536" s="37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38"/>
      <c r="Z536" s="34"/>
      <c r="AA536" s="18"/>
    </row>
    <row r="537" ht="21.0" customHeight="1">
      <c r="A537" s="18"/>
      <c r="B537" s="33"/>
      <c r="C537" s="34"/>
      <c r="D537" s="33"/>
      <c r="E537" s="18"/>
      <c r="F537" s="16"/>
      <c r="G537" s="16"/>
      <c r="H537" s="16"/>
      <c r="I537" s="16"/>
      <c r="J537" s="16"/>
      <c r="K537" s="16"/>
      <c r="L537" s="37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38"/>
      <c r="Z537" s="34"/>
      <c r="AA537" s="18"/>
    </row>
    <row r="538" ht="21.0" customHeight="1">
      <c r="A538" s="18"/>
      <c r="B538" s="33"/>
      <c r="C538" s="34"/>
      <c r="D538" s="33"/>
      <c r="E538" s="18"/>
      <c r="F538" s="16"/>
      <c r="G538" s="16"/>
      <c r="H538" s="16"/>
      <c r="I538" s="16"/>
      <c r="J538" s="16"/>
      <c r="K538" s="16"/>
      <c r="L538" s="37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38"/>
      <c r="Z538" s="34"/>
      <c r="AA538" s="18"/>
    </row>
    <row r="539" ht="21.0" customHeight="1">
      <c r="A539" s="18"/>
      <c r="B539" s="33"/>
      <c r="C539" s="34"/>
      <c r="D539" s="33"/>
      <c r="E539" s="18"/>
      <c r="F539" s="16"/>
      <c r="G539" s="16"/>
      <c r="H539" s="16"/>
      <c r="I539" s="16"/>
      <c r="J539" s="16"/>
      <c r="K539" s="16"/>
      <c r="L539" s="37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38"/>
      <c r="Z539" s="34"/>
      <c r="AA539" s="18"/>
    </row>
    <row r="540" ht="21.0" customHeight="1">
      <c r="A540" s="18"/>
      <c r="B540" s="33"/>
      <c r="C540" s="34"/>
      <c r="D540" s="33"/>
      <c r="E540" s="18"/>
      <c r="F540" s="16"/>
      <c r="G540" s="16"/>
      <c r="H540" s="16"/>
      <c r="I540" s="16"/>
      <c r="J540" s="16"/>
      <c r="K540" s="16"/>
      <c r="L540" s="37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38"/>
      <c r="Z540" s="34"/>
      <c r="AA540" s="18"/>
    </row>
    <row r="541" ht="21.0" customHeight="1">
      <c r="A541" s="18"/>
      <c r="B541" s="33"/>
      <c r="C541" s="34"/>
      <c r="D541" s="33"/>
      <c r="E541" s="18"/>
      <c r="F541" s="16"/>
      <c r="G541" s="16"/>
      <c r="H541" s="16"/>
      <c r="I541" s="16"/>
      <c r="J541" s="16"/>
      <c r="K541" s="16"/>
      <c r="L541" s="37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38"/>
      <c r="Z541" s="34"/>
      <c r="AA541" s="18"/>
    </row>
    <row r="542" ht="21.0" customHeight="1">
      <c r="A542" s="18"/>
      <c r="B542" s="33"/>
      <c r="C542" s="34"/>
      <c r="D542" s="33"/>
      <c r="E542" s="18"/>
      <c r="F542" s="16"/>
      <c r="G542" s="16"/>
      <c r="H542" s="16"/>
      <c r="I542" s="16"/>
      <c r="J542" s="16"/>
      <c r="K542" s="16"/>
      <c r="L542" s="37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38"/>
      <c r="Z542" s="34"/>
      <c r="AA542" s="18"/>
    </row>
    <row r="543" ht="21.0" customHeight="1">
      <c r="A543" s="18"/>
      <c r="B543" s="33"/>
      <c r="C543" s="34"/>
      <c r="D543" s="33"/>
      <c r="E543" s="18"/>
      <c r="F543" s="16"/>
      <c r="G543" s="16"/>
      <c r="H543" s="16"/>
      <c r="I543" s="16"/>
      <c r="J543" s="16"/>
      <c r="K543" s="16"/>
      <c r="L543" s="37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38"/>
      <c r="Z543" s="34"/>
      <c r="AA543" s="18"/>
    </row>
    <row r="544" ht="21.0" customHeight="1">
      <c r="A544" s="18"/>
      <c r="B544" s="33"/>
      <c r="C544" s="34"/>
      <c r="D544" s="33"/>
      <c r="E544" s="18"/>
      <c r="F544" s="16"/>
      <c r="G544" s="16"/>
      <c r="H544" s="16"/>
      <c r="I544" s="16"/>
      <c r="J544" s="16"/>
      <c r="K544" s="16"/>
      <c r="L544" s="37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38"/>
      <c r="Z544" s="34"/>
      <c r="AA544" s="18"/>
    </row>
    <row r="545" ht="21.0" customHeight="1">
      <c r="A545" s="18"/>
      <c r="B545" s="33"/>
      <c r="C545" s="34"/>
      <c r="D545" s="33"/>
      <c r="E545" s="18"/>
      <c r="F545" s="16"/>
      <c r="G545" s="16"/>
      <c r="H545" s="16"/>
      <c r="I545" s="16"/>
      <c r="J545" s="16"/>
      <c r="K545" s="16"/>
      <c r="L545" s="37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38"/>
      <c r="Z545" s="34"/>
      <c r="AA545" s="18"/>
    </row>
    <row r="546" ht="21.0" customHeight="1">
      <c r="A546" s="18"/>
      <c r="B546" s="33"/>
      <c r="C546" s="34"/>
      <c r="D546" s="33"/>
      <c r="E546" s="18"/>
      <c r="F546" s="16"/>
      <c r="G546" s="16"/>
      <c r="H546" s="16"/>
      <c r="I546" s="16"/>
      <c r="J546" s="16"/>
      <c r="K546" s="16"/>
      <c r="L546" s="37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38"/>
      <c r="Z546" s="34"/>
      <c r="AA546" s="18"/>
    </row>
    <row r="547" ht="21.0" customHeight="1">
      <c r="A547" s="18"/>
      <c r="B547" s="33"/>
      <c r="C547" s="34"/>
      <c r="D547" s="33"/>
      <c r="E547" s="18"/>
      <c r="F547" s="16"/>
      <c r="G547" s="16"/>
      <c r="H547" s="16"/>
      <c r="I547" s="16"/>
      <c r="J547" s="16"/>
      <c r="K547" s="16"/>
      <c r="L547" s="37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38"/>
      <c r="Z547" s="34"/>
      <c r="AA547" s="18"/>
    </row>
    <row r="548" ht="21.0" customHeight="1">
      <c r="A548" s="18"/>
      <c r="B548" s="33"/>
      <c r="C548" s="34"/>
      <c r="D548" s="33"/>
      <c r="E548" s="18"/>
      <c r="F548" s="16"/>
      <c r="G548" s="16"/>
      <c r="H548" s="16"/>
      <c r="I548" s="16"/>
      <c r="J548" s="16"/>
      <c r="K548" s="16"/>
      <c r="L548" s="37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38"/>
      <c r="Z548" s="34"/>
      <c r="AA548" s="18"/>
    </row>
    <row r="549" ht="21.0" customHeight="1">
      <c r="A549" s="18"/>
      <c r="B549" s="33"/>
      <c r="C549" s="34"/>
      <c r="D549" s="33"/>
      <c r="E549" s="18"/>
      <c r="F549" s="16"/>
      <c r="G549" s="16"/>
      <c r="H549" s="16"/>
      <c r="I549" s="16"/>
      <c r="J549" s="16"/>
      <c r="K549" s="16"/>
      <c r="L549" s="37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38"/>
      <c r="Z549" s="34"/>
      <c r="AA549" s="18"/>
    </row>
    <row r="550" ht="21.0" customHeight="1">
      <c r="A550" s="18"/>
      <c r="B550" s="33"/>
      <c r="C550" s="34"/>
      <c r="D550" s="33"/>
      <c r="E550" s="18"/>
      <c r="F550" s="16"/>
      <c r="G550" s="16"/>
      <c r="H550" s="16"/>
      <c r="I550" s="16"/>
      <c r="J550" s="16"/>
      <c r="K550" s="16"/>
      <c r="L550" s="37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38"/>
      <c r="Z550" s="34"/>
      <c r="AA550" s="18"/>
    </row>
    <row r="551" ht="21.0" customHeight="1">
      <c r="A551" s="18"/>
      <c r="B551" s="33"/>
      <c r="C551" s="34"/>
      <c r="D551" s="33"/>
      <c r="E551" s="18"/>
      <c r="F551" s="16"/>
      <c r="G551" s="16"/>
      <c r="H551" s="16"/>
      <c r="I551" s="16"/>
      <c r="J551" s="16"/>
      <c r="K551" s="16"/>
      <c r="L551" s="37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38"/>
      <c r="Z551" s="34"/>
      <c r="AA551" s="18"/>
    </row>
    <row r="552" ht="21.0" customHeight="1">
      <c r="A552" s="18"/>
      <c r="B552" s="33"/>
      <c r="C552" s="34"/>
      <c r="D552" s="33"/>
      <c r="E552" s="18"/>
      <c r="F552" s="16"/>
      <c r="G552" s="16"/>
      <c r="H552" s="16"/>
      <c r="I552" s="16"/>
      <c r="J552" s="16"/>
      <c r="K552" s="16"/>
      <c r="L552" s="37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38"/>
      <c r="Z552" s="34"/>
      <c r="AA552" s="18"/>
    </row>
    <row r="553" ht="21.0" customHeight="1">
      <c r="A553" s="18"/>
      <c r="B553" s="33"/>
      <c r="C553" s="34"/>
      <c r="D553" s="33"/>
      <c r="E553" s="18"/>
      <c r="F553" s="16"/>
      <c r="G553" s="16"/>
      <c r="H553" s="16"/>
      <c r="I553" s="16"/>
      <c r="J553" s="16"/>
      <c r="K553" s="16"/>
      <c r="L553" s="37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38"/>
      <c r="Z553" s="34"/>
      <c r="AA553" s="18"/>
    </row>
    <row r="554" ht="21.0" customHeight="1">
      <c r="A554" s="18"/>
      <c r="B554" s="33"/>
      <c r="C554" s="34"/>
      <c r="D554" s="33"/>
      <c r="E554" s="18"/>
      <c r="F554" s="16"/>
      <c r="G554" s="16"/>
      <c r="H554" s="16"/>
      <c r="I554" s="16"/>
      <c r="J554" s="16"/>
      <c r="K554" s="16"/>
      <c r="L554" s="37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38"/>
      <c r="Z554" s="34"/>
      <c r="AA554" s="18"/>
    </row>
    <row r="555" ht="21.0" customHeight="1">
      <c r="A555" s="18"/>
      <c r="B555" s="33"/>
      <c r="C555" s="34"/>
      <c r="D555" s="33"/>
      <c r="E555" s="18"/>
      <c r="F555" s="16"/>
      <c r="G555" s="16"/>
      <c r="H555" s="16"/>
      <c r="I555" s="16"/>
      <c r="J555" s="16"/>
      <c r="K555" s="16"/>
      <c r="L555" s="37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38"/>
      <c r="Z555" s="34"/>
      <c r="AA555" s="18"/>
    </row>
    <row r="556" ht="21.0" customHeight="1">
      <c r="A556" s="18"/>
      <c r="B556" s="33"/>
      <c r="C556" s="34"/>
      <c r="D556" s="33"/>
      <c r="E556" s="18"/>
      <c r="F556" s="16"/>
      <c r="G556" s="16"/>
      <c r="H556" s="16"/>
      <c r="I556" s="16"/>
      <c r="J556" s="16"/>
      <c r="K556" s="16"/>
      <c r="L556" s="37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38"/>
      <c r="Z556" s="34"/>
      <c r="AA556" s="18"/>
    </row>
    <row r="557" ht="21.0" customHeight="1">
      <c r="A557" s="18"/>
      <c r="B557" s="33"/>
      <c r="C557" s="34"/>
      <c r="D557" s="33"/>
      <c r="E557" s="18"/>
      <c r="F557" s="16"/>
      <c r="G557" s="16"/>
      <c r="H557" s="16"/>
      <c r="I557" s="16"/>
      <c r="J557" s="16"/>
      <c r="K557" s="16"/>
      <c r="L557" s="37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38"/>
      <c r="Z557" s="34"/>
      <c r="AA557" s="18"/>
    </row>
    <row r="558" ht="21.0" customHeight="1">
      <c r="A558" s="18"/>
      <c r="B558" s="33"/>
      <c r="C558" s="34"/>
      <c r="D558" s="33"/>
      <c r="E558" s="18"/>
      <c r="F558" s="16"/>
      <c r="G558" s="16"/>
      <c r="H558" s="16"/>
      <c r="I558" s="16"/>
      <c r="J558" s="16"/>
      <c r="K558" s="16"/>
      <c r="L558" s="37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38"/>
      <c r="Z558" s="34"/>
      <c r="AA558" s="18"/>
    </row>
    <row r="559" ht="21.0" customHeight="1">
      <c r="A559" s="18"/>
      <c r="B559" s="33"/>
      <c r="C559" s="34"/>
      <c r="D559" s="33"/>
      <c r="E559" s="18"/>
      <c r="F559" s="16"/>
      <c r="G559" s="16"/>
      <c r="H559" s="16"/>
      <c r="I559" s="16"/>
      <c r="J559" s="16"/>
      <c r="K559" s="16"/>
      <c r="L559" s="37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38"/>
      <c r="Z559" s="34"/>
      <c r="AA559" s="18"/>
    </row>
    <row r="560" ht="21.0" customHeight="1">
      <c r="A560" s="18"/>
      <c r="B560" s="33"/>
      <c r="C560" s="34"/>
      <c r="D560" s="33"/>
      <c r="E560" s="18"/>
      <c r="F560" s="16"/>
      <c r="G560" s="16"/>
      <c r="H560" s="16"/>
      <c r="I560" s="16"/>
      <c r="J560" s="16"/>
      <c r="K560" s="16"/>
      <c r="L560" s="37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38"/>
      <c r="Z560" s="34"/>
      <c r="AA560" s="18"/>
    </row>
    <row r="561" ht="21.0" customHeight="1">
      <c r="A561" s="18"/>
      <c r="B561" s="33"/>
      <c r="C561" s="34"/>
      <c r="D561" s="33"/>
      <c r="E561" s="18"/>
      <c r="F561" s="16"/>
      <c r="G561" s="16"/>
      <c r="H561" s="16"/>
      <c r="I561" s="16"/>
      <c r="J561" s="16"/>
      <c r="K561" s="16"/>
      <c r="L561" s="37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38"/>
      <c r="Z561" s="34"/>
      <c r="AA561" s="18"/>
    </row>
    <row r="562" ht="21.0" customHeight="1">
      <c r="A562" s="18"/>
      <c r="B562" s="33"/>
      <c r="C562" s="34"/>
      <c r="D562" s="33"/>
      <c r="E562" s="18"/>
      <c r="F562" s="16"/>
      <c r="G562" s="16"/>
      <c r="H562" s="16"/>
      <c r="I562" s="16"/>
      <c r="J562" s="16"/>
      <c r="K562" s="16"/>
      <c r="L562" s="37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38"/>
      <c r="Z562" s="34"/>
      <c r="AA562" s="18"/>
    </row>
    <row r="563" ht="21.0" customHeight="1">
      <c r="A563" s="18"/>
      <c r="B563" s="33"/>
      <c r="C563" s="34"/>
      <c r="D563" s="33"/>
      <c r="E563" s="18"/>
      <c r="F563" s="16"/>
      <c r="G563" s="16"/>
      <c r="H563" s="16"/>
      <c r="I563" s="16"/>
      <c r="J563" s="16"/>
      <c r="K563" s="16"/>
      <c r="L563" s="37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38"/>
      <c r="Z563" s="34"/>
      <c r="AA563" s="18"/>
    </row>
    <row r="564" ht="21.0" customHeight="1">
      <c r="A564" s="18"/>
      <c r="B564" s="33"/>
      <c r="C564" s="34"/>
      <c r="D564" s="33"/>
      <c r="E564" s="18"/>
      <c r="F564" s="16"/>
      <c r="G564" s="16"/>
      <c r="H564" s="16"/>
      <c r="I564" s="16"/>
      <c r="J564" s="16"/>
      <c r="K564" s="16"/>
      <c r="L564" s="37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38"/>
      <c r="Z564" s="34"/>
      <c r="AA564" s="18"/>
    </row>
    <row r="565" ht="21.0" customHeight="1">
      <c r="A565" s="18"/>
      <c r="B565" s="33"/>
      <c r="C565" s="34"/>
      <c r="D565" s="33"/>
      <c r="E565" s="18"/>
      <c r="F565" s="16"/>
      <c r="G565" s="16"/>
      <c r="H565" s="16"/>
      <c r="I565" s="16"/>
      <c r="J565" s="16"/>
      <c r="K565" s="16"/>
      <c r="L565" s="37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38"/>
      <c r="Z565" s="34"/>
      <c r="AA565" s="18"/>
    </row>
    <row r="566" ht="21.0" customHeight="1">
      <c r="A566" s="18"/>
      <c r="B566" s="33"/>
      <c r="C566" s="34"/>
      <c r="D566" s="33"/>
      <c r="E566" s="18"/>
      <c r="F566" s="16"/>
      <c r="G566" s="16"/>
      <c r="H566" s="16"/>
      <c r="I566" s="16"/>
      <c r="J566" s="16"/>
      <c r="K566" s="16"/>
      <c r="L566" s="37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38"/>
      <c r="Z566" s="34"/>
      <c r="AA566" s="18"/>
    </row>
    <row r="567" ht="21.0" customHeight="1">
      <c r="A567" s="18"/>
      <c r="B567" s="33"/>
      <c r="C567" s="34"/>
      <c r="D567" s="33"/>
      <c r="E567" s="18"/>
      <c r="F567" s="16"/>
      <c r="G567" s="16"/>
      <c r="H567" s="16"/>
      <c r="I567" s="16"/>
      <c r="J567" s="16"/>
      <c r="K567" s="16"/>
      <c r="L567" s="37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38"/>
      <c r="Z567" s="34"/>
      <c r="AA567" s="18"/>
    </row>
    <row r="568" ht="21.0" customHeight="1">
      <c r="A568" s="18"/>
      <c r="B568" s="33"/>
      <c r="C568" s="34"/>
      <c r="D568" s="33"/>
      <c r="E568" s="18"/>
      <c r="F568" s="16"/>
      <c r="G568" s="16"/>
      <c r="H568" s="16"/>
      <c r="I568" s="16"/>
      <c r="J568" s="16"/>
      <c r="K568" s="16"/>
      <c r="L568" s="37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38"/>
      <c r="Z568" s="34"/>
      <c r="AA568" s="18"/>
    </row>
    <row r="569" ht="21.0" customHeight="1">
      <c r="A569" s="18"/>
      <c r="B569" s="33"/>
      <c r="C569" s="34"/>
      <c r="D569" s="33"/>
      <c r="E569" s="18"/>
      <c r="F569" s="16"/>
      <c r="G569" s="16"/>
      <c r="H569" s="16"/>
      <c r="I569" s="16"/>
      <c r="J569" s="16"/>
      <c r="K569" s="16"/>
      <c r="L569" s="37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38"/>
      <c r="Z569" s="34"/>
      <c r="AA569" s="18"/>
    </row>
    <row r="570" ht="21.0" customHeight="1">
      <c r="A570" s="18"/>
      <c r="B570" s="33"/>
      <c r="C570" s="34"/>
      <c r="D570" s="33"/>
      <c r="E570" s="18"/>
      <c r="F570" s="16"/>
      <c r="G570" s="16"/>
      <c r="H570" s="16"/>
      <c r="I570" s="16"/>
      <c r="J570" s="16"/>
      <c r="K570" s="16"/>
      <c r="L570" s="37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38"/>
      <c r="Z570" s="34"/>
      <c r="AA570" s="18"/>
    </row>
    <row r="571" ht="21.0" customHeight="1">
      <c r="A571" s="18"/>
      <c r="B571" s="33"/>
      <c r="C571" s="34"/>
      <c r="D571" s="33"/>
      <c r="E571" s="18"/>
      <c r="F571" s="16"/>
      <c r="G571" s="16"/>
      <c r="H571" s="16"/>
      <c r="I571" s="16"/>
      <c r="J571" s="16"/>
      <c r="K571" s="16"/>
      <c r="L571" s="37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38"/>
      <c r="Z571" s="34"/>
      <c r="AA571" s="18"/>
    </row>
    <row r="572" ht="21.0" customHeight="1">
      <c r="A572" s="18"/>
      <c r="B572" s="33"/>
      <c r="C572" s="34"/>
      <c r="D572" s="33"/>
      <c r="E572" s="18"/>
      <c r="F572" s="16"/>
      <c r="G572" s="16"/>
      <c r="H572" s="16"/>
      <c r="I572" s="16"/>
      <c r="J572" s="16"/>
      <c r="K572" s="16"/>
      <c r="L572" s="37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38"/>
      <c r="Z572" s="34"/>
      <c r="AA572" s="18"/>
    </row>
    <row r="573" ht="21.0" customHeight="1">
      <c r="A573" s="18"/>
      <c r="B573" s="33"/>
      <c r="C573" s="34"/>
      <c r="D573" s="33"/>
      <c r="E573" s="18"/>
      <c r="F573" s="16"/>
      <c r="G573" s="16"/>
      <c r="H573" s="16"/>
      <c r="I573" s="16"/>
      <c r="J573" s="16"/>
      <c r="K573" s="16"/>
      <c r="L573" s="37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38"/>
      <c r="Z573" s="34"/>
      <c r="AA573" s="18"/>
    </row>
    <row r="574" ht="21.0" customHeight="1">
      <c r="A574" s="18"/>
      <c r="B574" s="33"/>
      <c r="C574" s="34"/>
      <c r="D574" s="33"/>
      <c r="E574" s="18"/>
      <c r="F574" s="16"/>
      <c r="G574" s="16"/>
      <c r="H574" s="16"/>
      <c r="I574" s="16"/>
      <c r="J574" s="16"/>
      <c r="K574" s="16"/>
      <c r="L574" s="37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38"/>
      <c r="Z574" s="34"/>
      <c r="AA574" s="18"/>
    </row>
    <row r="575" ht="21.0" customHeight="1">
      <c r="A575" s="18"/>
      <c r="B575" s="33"/>
      <c r="C575" s="34"/>
      <c r="D575" s="33"/>
      <c r="E575" s="18"/>
      <c r="F575" s="16"/>
      <c r="G575" s="16"/>
      <c r="H575" s="16"/>
      <c r="I575" s="16"/>
      <c r="J575" s="16"/>
      <c r="K575" s="16"/>
      <c r="L575" s="37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38"/>
      <c r="Z575" s="34"/>
      <c r="AA575" s="18"/>
    </row>
    <row r="576" ht="21.0" customHeight="1">
      <c r="A576" s="18"/>
      <c r="B576" s="33"/>
      <c r="C576" s="34"/>
      <c r="D576" s="33"/>
      <c r="E576" s="18"/>
      <c r="F576" s="16"/>
      <c r="G576" s="16"/>
      <c r="H576" s="16"/>
      <c r="I576" s="16"/>
      <c r="J576" s="16"/>
      <c r="K576" s="16"/>
      <c r="L576" s="37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38"/>
      <c r="Z576" s="34"/>
      <c r="AA576" s="18"/>
    </row>
    <row r="577" ht="21.0" customHeight="1">
      <c r="A577" s="18"/>
      <c r="B577" s="33"/>
      <c r="C577" s="34"/>
      <c r="D577" s="33"/>
      <c r="E577" s="18"/>
      <c r="F577" s="16"/>
      <c r="G577" s="16"/>
      <c r="H577" s="16"/>
      <c r="I577" s="16"/>
      <c r="J577" s="16"/>
      <c r="K577" s="16"/>
      <c r="L577" s="37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38"/>
      <c r="Z577" s="34"/>
      <c r="AA577" s="18"/>
    </row>
    <row r="578" ht="21.0" customHeight="1">
      <c r="A578" s="18"/>
      <c r="B578" s="33"/>
      <c r="C578" s="34"/>
      <c r="D578" s="33"/>
      <c r="E578" s="18"/>
      <c r="F578" s="16"/>
      <c r="G578" s="16"/>
      <c r="H578" s="16"/>
      <c r="I578" s="16"/>
      <c r="J578" s="16"/>
      <c r="K578" s="16"/>
      <c r="L578" s="37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38"/>
      <c r="Z578" s="34"/>
      <c r="AA578" s="18"/>
    </row>
    <row r="579" ht="21.0" customHeight="1">
      <c r="A579" s="18"/>
      <c r="B579" s="33"/>
      <c r="C579" s="34"/>
      <c r="D579" s="33"/>
      <c r="E579" s="18"/>
      <c r="F579" s="16"/>
      <c r="G579" s="16"/>
      <c r="H579" s="16"/>
      <c r="I579" s="16"/>
      <c r="J579" s="16"/>
      <c r="K579" s="16"/>
      <c r="L579" s="37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38"/>
      <c r="Z579" s="34"/>
      <c r="AA579" s="18"/>
    </row>
    <row r="580" ht="21.0" customHeight="1">
      <c r="A580" s="18"/>
      <c r="B580" s="33"/>
      <c r="C580" s="34"/>
      <c r="D580" s="33"/>
      <c r="E580" s="18"/>
      <c r="F580" s="16"/>
      <c r="G580" s="16"/>
      <c r="H580" s="16"/>
      <c r="I580" s="16"/>
      <c r="J580" s="16"/>
      <c r="K580" s="16"/>
      <c r="L580" s="37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38"/>
      <c r="Z580" s="34"/>
      <c r="AA580" s="18"/>
    </row>
    <row r="581" ht="21.0" customHeight="1">
      <c r="A581" s="18"/>
      <c r="B581" s="33"/>
      <c r="C581" s="34"/>
      <c r="D581" s="33"/>
      <c r="E581" s="18"/>
      <c r="F581" s="16"/>
      <c r="G581" s="16"/>
      <c r="H581" s="16"/>
      <c r="I581" s="16"/>
      <c r="J581" s="16"/>
      <c r="K581" s="16"/>
      <c r="L581" s="37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38"/>
      <c r="Z581" s="34"/>
      <c r="AA581" s="18"/>
    </row>
    <row r="582" ht="21.0" customHeight="1">
      <c r="A582" s="18"/>
      <c r="B582" s="33"/>
      <c r="C582" s="34"/>
      <c r="D582" s="33"/>
      <c r="E582" s="18"/>
      <c r="F582" s="16"/>
      <c r="G582" s="16"/>
      <c r="H582" s="16"/>
      <c r="I582" s="16"/>
      <c r="J582" s="16"/>
      <c r="K582" s="16"/>
      <c r="L582" s="37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38"/>
      <c r="Z582" s="34"/>
      <c r="AA582" s="18"/>
    </row>
    <row r="583" ht="21.0" customHeight="1">
      <c r="A583" s="18"/>
      <c r="B583" s="33"/>
      <c r="C583" s="34"/>
      <c r="D583" s="33"/>
      <c r="E583" s="18"/>
      <c r="F583" s="16"/>
      <c r="G583" s="16"/>
      <c r="H583" s="16"/>
      <c r="I583" s="16"/>
      <c r="J583" s="16"/>
      <c r="K583" s="16"/>
      <c r="L583" s="37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38"/>
      <c r="Z583" s="34"/>
      <c r="AA583" s="18"/>
    </row>
    <row r="584" ht="21.0" customHeight="1">
      <c r="A584" s="18"/>
      <c r="B584" s="33"/>
      <c r="C584" s="34"/>
      <c r="D584" s="33"/>
      <c r="E584" s="18"/>
      <c r="F584" s="16"/>
      <c r="G584" s="16"/>
      <c r="H584" s="16"/>
      <c r="I584" s="16"/>
      <c r="J584" s="16"/>
      <c r="K584" s="16"/>
      <c r="L584" s="37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38"/>
      <c r="Z584" s="34"/>
      <c r="AA584" s="18"/>
    </row>
    <row r="585" ht="21.0" customHeight="1">
      <c r="A585" s="18"/>
      <c r="B585" s="33"/>
      <c r="C585" s="34"/>
      <c r="D585" s="33"/>
      <c r="E585" s="18"/>
      <c r="F585" s="16"/>
      <c r="G585" s="16"/>
      <c r="H585" s="16"/>
      <c r="I585" s="16"/>
      <c r="J585" s="16"/>
      <c r="K585" s="16"/>
      <c r="L585" s="37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38"/>
      <c r="Z585" s="34"/>
      <c r="AA585" s="18"/>
    </row>
    <row r="586" ht="21.0" customHeight="1">
      <c r="A586" s="18"/>
      <c r="B586" s="33"/>
      <c r="C586" s="34"/>
      <c r="D586" s="33"/>
      <c r="E586" s="18"/>
      <c r="F586" s="16"/>
      <c r="G586" s="16"/>
      <c r="H586" s="16"/>
      <c r="I586" s="16"/>
      <c r="J586" s="16"/>
      <c r="K586" s="16"/>
      <c r="L586" s="37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38"/>
      <c r="Z586" s="34"/>
      <c r="AA586" s="18"/>
    </row>
    <row r="587" ht="21.0" customHeight="1">
      <c r="A587" s="18"/>
      <c r="B587" s="33"/>
      <c r="C587" s="34"/>
      <c r="D587" s="33"/>
      <c r="E587" s="18"/>
      <c r="F587" s="16"/>
      <c r="G587" s="16"/>
      <c r="H587" s="16"/>
      <c r="I587" s="16"/>
      <c r="J587" s="16"/>
      <c r="K587" s="16"/>
      <c r="L587" s="37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38"/>
      <c r="Z587" s="34"/>
      <c r="AA587" s="18"/>
    </row>
    <row r="588" ht="21.0" customHeight="1">
      <c r="A588" s="18"/>
      <c r="B588" s="33"/>
      <c r="C588" s="34"/>
      <c r="D588" s="33"/>
      <c r="E588" s="18"/>
      <c r="F588" s="16"/>
      <c r="G588" s="16"/>
      <c r="H588" s="16"/>
      <c r="I588" s="16"/>
      <c r="J588" s="16"/>
      <c r="K588" s="16"/>
      <c r="L588" s="37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38"/>
      <c r="Z588" s="34"/>
      <c r="AA588" s="18"/>
    </row>
    <row r="589" ht="21.0" customHeight="1">
      <c r="A589" s="18"/>
      <c r="B589" s="33"/>
      <c r="C589" s="34"/>
      <c r="D589" s="33"/>
      <c r="E589" s="18"/>
      <c r="F589" s="16"/>
      <c r="G589" s="16"/>
      <c r="H589" s="16"/>
      <c r="I589" s="16"/>
      <c r="J589" s="16"/>
      <c r="K589" s="16"/>
      <c r="L589" s="37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38"/>
      <c r="Z589" s="34"/>
      <c r="AA589" s="18"/>
    </row>
    <row r="590" ht="21.0" customHeight="1">
      <c r="A590" s="18"/>
      <c r="B590" s="33"/>
      <c r="C590" s="34"/>
      <c r="D590" s="33"/>
      <c r="E590" s="18"/>
      <c r="F590" s="16"/>
      <c r="G590" s="16"/>
      <c r="H590" s="16"/>
      <c r="I590" s="16"/>
      <c r="J590" s="16"/>
      <c r="K590" s="16"/>
      <c r="L590" s="37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38"/>
      <c r="Z590" s="34"/>
      <c r="AA590" s="18"/>
    </row>
    <row r="591" ht="21.0" customHeight="1">
      <c r="A591" s="18"/>
      <c r="B591" s="33"/>
      <c r="C591" s="34"/>
      <c r="D591" s="33"/>
      <c r="E591" s="18"/>
      <c r="F591" s="16"/>
      <c r="G591" s="16"/>
      <c r="H591" s="16"/>
      <c r="I591" s="16"/>
      <c r="J591" s="16"/>
      <c r="K591" s="16"/>
      <c r="L591" s="37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38"/>
      <c r="Z591" s="34"/>
      <c r="AA591" s="18"/>
    </row>
    <row r="592" ht="21.0" customHeight="1">
      <c r="A592" s="18"/>
      <c r="B592" s="33"/>
      <c r="C592" s="34"/>
      <c r="D592" s="33"/>
      <c r="E592" s="18"/>
      <c r="F592" s="16"/>
      <c r="G592" s="16"/>
      <c r="H592" s="16"/>
      <c r="I592" s="16"/>
      <c r="J592" s="16"/>
      <c r="K592" s="16"/>
      <c r="L592" s="37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38"/>
      <c r="Z592" s="34"/>
      <c r="AA592" s="18"/>
    </row>
    <row r="593" ht="21.0" customHeight="1">
      <c r="A593" s="18"/>
      <c r="B593" s="33"/>
      <c r="C593" s="34"/>
      <c r="D593" s="33"/>
      <c r="E593" s="18"/>
      <c r="F593" s="16"/>
      <c r="G593" s="16"/>
      <c r="H593" s="16"/>
      <c r="I593" s="16"/>
      <c r="J593" s="16"/>
      <c r="K593" s="16"/>
      <c r="L593" s="37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38"/>
      <c r="Z593" s="34"/>
      <c r="AA593" s="18"/>
    </row>
    <row r="594" ht="21.0" customHeight="1">
      <c r="A594" s="18"/>
      <c r="B594" s="33"/>
      <c r="C594" s="34"/>
      <c r="D594" s="33"/>
      <c r="E594" s="18"/>
      <c r="F594" s="16"/>
      <c r="G594" s="16"/>
      <c r="H594" s="16"/>
      <c r="I594" s="16"/>
      <c r="J594" s="16"/>
      <c r="K594" s="16"/>
      <c r="L594" s="37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38"/>
      <c r="Z594" s="34"/>
      <c r="AA594" s="18"/>
    </row>
    <row r="595" ht="21.0" customHeight="1">
      <c r="A595" s="18"/>
      <c r="B595" s="33"/>
      <c r="C595" s="34"/>
      <c r="D595" s="33"/>
      <c r="E595" s="18"/>
      <c r="F595" s="16"/>
      <c r="G595" s="16"/>
      <c r="H595" s="16"/>
      <c r="I595" s="16"/>
      <c r="J595" s="16"/>
      <c r="K595" s="16"/>
      <c r="L595" s="37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38"/>
      <c r="Z595" s="34"/>
      <c r="AA595" s="18"/>
    </row>
    <row r="596" ht="21.0" customHeight="1">
      <c r="A596" s="18"/>
      <c r="B596" s="33"/>
      <c r="C596" s="34"/>
      <c r="D596" s="33"/>
      <c r="E596" s="18"/>
      <c r="F596" s="16"/>
      <c r="G596" s="16"/>
      <c r="H596" s="16"/>
      <c r="I596" s="16"/>
      <c r="J596" s="16"/>
      <c r="K596" s="16"/>
      <c r="L596" s="37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38"/>
      <c r="Z596" s="34"/>
      <c r="AA596" s="18"/>
    </row>
    <row r="597" ht="21.0" customHeight="1">
      <c r="A597" s="18"/>
      <c r="B597" s="33"/>
      <c r="C597" s="34"/>
      <c r="D597" s="33"/>
      <c r="E597" s="18"/>
      <c r="F597" s="16"/>
      <c r="G597" s="16"/>
      <c r="H597" s="16"/>
      <c r="I597" s="16"/>
      <c r="J597" s="16"/>
      <c r="K597" s="16"/>
      <c r="L597" s="37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38"/>
      <c r="Z597" s="34"/>
      <c r="AA597" s="18"/>
    </row>
    <row r="598" ht="21.0" customHeight="1">
      <c r="A598" s="18"/>
      <c r="B598" s="33"/>
      <c r="C598" s="34"/>
      <c r="D598" s="33"/>
      <c r="E598" s="18"/>
      <c r="F598" s="16"/>
      <c r="G598" s="16"/>
      <c r="H598" s="16"/>
      <c r="I598" s="16"/>
      <c r="J598" s="16"/>
      <c r="K598" s="16"/>
      <c r="L598" s="37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38"/>
      <c r="Z598" s="34"/>
      <c r="AA598" s="18"/>
    </row>
    <row r="599" ht="21.0" customHeight="1">
      <c r="A599" s="18"/>
      <c r="B599" s="33"/>
      <c r="C599" s="34"/>
      <c r="D599" s="33"/>
      <c r="E599" s="18"/>
      <c r="F599" s="16"/>
      <c r="G599" s="16"/>
      <c r="H599" s="16"/>
      <c r="I599" s="16"/>
      <c r="J599" s="16"/>
      <c r="K599" s="16"/>
      <c r="L599" s="37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38"/>
      <c r="Z599" s="34"/>
      <c r="AA599" s="18"/>
    </row>
    <row r="600" ht="21.0" customHeight="1">
      <c r="A600" s="18"/>
      <c r="B600" s="33"/>
      <c r="C600" s="34"/>
      <c r="D600" s="33"/>
      <c r="E600" s="18"/>
      <c r="F600" s="16"/>
      <c r="G600" s="16"/>
      <c r="H600" s="16"/>
      <c r="I600" s="16"/>
      <c r="J600" s="16"/>
      <c r="K600" s="16"/>
      <c r="L600" s="37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38"/>
      <c r="Z600" s="34"/>
      <c r="AA600" s="18"/>
    </row>
    <row r="601" ht="21.0" customHeight="1">
      <c r="A601" s="18"/>
      <c r="B601" s="33"/>
      <c r="C601" s="34"/>
      <c r="D601" s="33"/>
      <c r="E601" s="18"/>
      <c r="F601" s="16"/>
      <c r="G601" s="16"/>
      <c r="H601" s="16"/>
      <c r="I601" s="16"/>
      <c r="J601" s="16"/>
      <c r="K601" s="16"/>
      <c r="L601" s="37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38"/>
      <c r="Z601" s="34"/>
      <c r="AA601" s="18"/>
    </row>
    <row r="602" ht="21.0" customHeight="1">
      <c r="A602" s="18"/>
      <c r="B602" s="33"/>
      <c r="C602" s="34"/>
      <c r="D602" s="33"/>
      <c r="E602" s="18"/>
      <c r="F602" s="16"/>
      <c r="G602" s="16"/>
      <c r="H602" s="16"/>
      <c r="I602" s="16"/>
      <c r="J602" s="16"/>
      <c r="K602" s="16"/>
      <c r="L602" s="37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38"/>
      <c r="Z602" s="34"/>
      <c r="AA602" s="18"/>
    </row>
    <row r="603" ht="21.0" customHeight="1">
      <c r="A603" s="18"/>
      <c r="B603" s="33"/>
      <c r="C603" s="34"/>
      <c r="D603" s="33"/>
      <c r="E603" s="18"/>
      <c r="F603" s="16"/>
      <c r="G603" s="16"/>
      <c r="H603" s="16"/>
      <c r="I603" s="16"/>
      <c r="J603" s="16"/>
      <c r="K603" s="16"/>
      <c r="L603" s="37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38"/>
      <c r="Z603" s="34"/>
      <c r="AA603" s="18"/>
    </row>
    <row r="604" ht="21.0" customHeight="1">
      <c r="A604" s="18"/>
      <c r="B604" s="33"/>
      <c r="C604" s="34"/>
      <c r="D604" s="33"/>
      <c r="E604" s="18"/>
      <c r="F604" s="16"/>
      <c r="G604" s="16"/>
      <c r="H604" s="16"/>
      <c r="I604" s="16"/>
      <c r="J604" s="16"/>
      <c r="K604" s="16"/>
      <c r="L604" s="37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38"/>
      <c r="Z604" s="34"/>
      <c r="AA604" s="18"/>
    </row>
    <row r="605" ht="21.0" customHeight="1">
      <c r="A605" s="18"/>
      <c r="B605" s="33"/>
      <c r="C605" s="34"/>
      <c r="D605" s="33"/>
      <c r="E605" s="18"/>
      <c r="F605" s="16"/>
      <c r="G605" s="16"/>
      <c r="H605" s="16"/>
      <c r="I605" s="16"/>
      <c r="J605" s="16"/>
      <c r="K605" s="16"/>
      <c r="L605" s="37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38"/>
      <c r="Z605" s="34"/>
      <c r="AA605" s="18"/>
    </row>
    <row r="606" ht="21.0" customHeight="1">
      <c r="A606" s="18"/>
      <c r="B606" s="33"/>
      <c r="C606" s="34"/>
      <c r="D606" s="33"/>
      <c r="E606" s="18"/>
      <c r="F606" s="16"/>
      <c r="G606" s="16"/>
      <c r="H606" s="16"/>
      <c r="I606" s="16"/>
      <c r="J606" s="16"/>
      <c r="K606" s="16"/>
      <c r="L606" s="37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38"/>
      <c r="Z606" s="34"/>
      <c r="AA606" s="18"/>
    </row>
    <row r="607" ht="21.0" customHeight="1">
      <c r="A607" s="18"/>
      <c r="B607" s="33"/>
      <c r="C607" s="34"/>
      <c r="D607" s="33"/>
      <c r="E607" s="18"/>
      <c r="F607" s="16"/>
      <c r="G607" s="16"/>
      <c r="H607" s="16"/>
      <c r="I607" s="16"/>
      <c r="J607" s="16"/>
      <c r="K607" s="16"/>
      <c r="L607" s="37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38"/>
      <c r="Z607" s="34"/>
      <c r="AA607" s="18"/>
    </row>
    <row r="608" ht="21.0" customHeight="1">
      <c r="A608" s="18"/>
      <c r="B608" s="33"/>
      <c r="C608" s="34"/>
      <c r="D608" s="33"/>
      <c r="E608" s="18"/>
      <c r="F608" s="16"/>
      <c r="G608" s="16"/>
      <c r="H608" s="16"/>
      <c r="I608" s="16"/>
      <c r="J608" s="16"/>
      <c r="K608" s="16"/>
      <c r="L608" s="37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38"/>
      <c r="Z608" s="34"/>
      <c r="AA608" s="18"/>
    </row>
    <row r="609" ht="21.0" customHeight="1">
      <c r="A609" s="18"/>
      <c r="B609" s="33"/>
      <c r="C609" s="34"/>
      <c r="D609" s="33"/>
      <c r="E609" s="18"/>
      <c r="F609" s="16"/>
      <c r="G609" s="16"/>
      <c r="H609" s="16"/>
      <c r="I609" s="16"/>
      <c r="J609" s="16"/>
      <c r="K609" s="16"/>
      <c r="L609" s="37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38"/>
      <c r="Z609" s="34"/>
      <c r="AA609" s="18"/>
    </row>
    <row r="610" ht="21.0" customHeight="1">
      <c r="A610" s="18"/>
      <c r="B610" s="33"/>
      <c r="C610" s="34"/>
      <c r="D610" s="33"/>
      <c r="E610" s="18"/>
      <c r="F610" s="16"/>
      <c r="G610" s="16"/>
      <c r="H610" s="16"/>
      <c r="I610" s="16"/>
      <c r="J610" s="16"/>
      <c r="K610" s="16"/>
      <c r="L610" s="37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38"/>
      <c r="Z610" s="34"/>
      <c r="AA610" s="18"/>
    </row>
    <row r="611" ht="21.0" customHeight="1">
      <c r="A611" s="18"/>
      <c r="B611" s="33"/>
      <c r="C611" s="34"/>
      <c r="D611" s="33"/>
      <c r="E611" s="18"/>
      <c r="F611" s="16"/>
      <c r="G611" s="16"/>
      <c r="H611" s="16"/>
      <c r="I611" s="16"/>
      <c r="J611" s="16"/>
      <c r="K611" s="16"/>
      <c r="L611" s="37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38"/>
      <c r="Z611" s="34"/>
      <c r="AA611" s="18"/>
    </row>
    <row r="612" ht="21.0" customHeight="1">
      <c r="A612" s="18"/>
      <c r="B612" s="33"/>
      <c r="C612" s="34"/>
      <c r="D612" s="33"/>
      <c r="E612" s="18"/>
      <c r="F612" s="16"/>
      <c r="G612" s="16"/>
      <c r="H612" s="16"/>
      <c r="I612" s="16"/>
      <c r="J612" s="16"/>
      <c r="K612" s="16"/>
      <c r="L612" s="37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38"/>
      <c r="Z612" s="34"/>
      <c r="AA612" s="18"/>
    </row>
    <row r="613" ht="21.0" customHeight="1">
      <c r="A613" s="18"/>
      <c r="B613" s="33"/>
      <c r="C613" s="34"/>
      <c r="D613" s="33"/>
      <c r="E613" s="18"/>
      <c r="F613" s="16"/>
      <c r="G613" s="16"/>
      <c r="H613" s="16"/>
      <c r="I613" s="16"/>
      <c r="J613" s="16"/>
      <c r="K613" s="16"/>
      <c r="L613" s="37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38"/>
      <c r="Z613" s="34"/>
      <c r="AA613" s="18"/>
    </row>
    <row r="614" ht="21.0" customHeight="1">
      <c r="A614" s="18"/>
      <c r="B614" s="33"/>
      <c r="C614" s="34"/>
      <c r="D614" s="33"/>
      <c r="E614" s="18"/>
      <c r="F614" s="16"/>
      <c r="G614" s="16"/>
      <c r="H614" s="16"/>
      <c r="I614" s="16"/>
      <c r="J614" s="16"/>
      <c r="K614" s="16"/>
      <c r="L614" s="37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38"/>
      <c r="Z614" s="34"/>
      <c r="AA614" s="18"/>
    </row>
    <row r="615" ht="21.0" customHeight="1">
      <c r="A615" s="18"/>
      <c r="B615" s="33"/>
      <c r="C615" s="34"/>
      <c r="D615" s="33"/>
      <c r="E615" s="18"/>
      <c r="F615" s="16"/>
      <c r="G615" s="16"/>
      <c r="H615" s="16"/>
      <c r="I615" s="16"/>
      <c r="J615" s="16"/>
      <c r="K615" s="16"/>
      <c r="L615" s="37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38"/>
      <c r="Z615" s="34"/>
      <c r="AA615" s="18"/>
    </row>
    <row r="616" ht="21.0" customHeight="1">
      <c r="A616" s="18"/>
      <c r="B616" s="33"/>
      <c r="C616" s="34"/>
      <c r="D616" s="33"/>
      <c r="E616" s="18"/>
      <c r="F616" s="16"/>
      <c r="G616" s="16"/>
      <c r="H616" s="16"/>
      <c r="I616" s="16"/>
      <c r="J616" s="16"/>
      <c r="K616" s="16"/>
      <c r="L616" s="37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38"/>
      <c r="Z616" s="34"/>
      <c r="AA616" s="18"/>
    </row>
    <row r="617" ht="21.0" customHeight="1">
      <c r="A617" s="18"/>
      <c r="B617" s="33"/>
      <c r="C617" s="34"/>
      <c r="D617" s="33"/>
      <c r="E617" s="18"/>
      <c r="F617" s="16"/>
      <c r="G617" s="16"/>
      <c r="H617" s="16"/>
      <c r="I617" s="16"/>
      <c r="J617" s="16"/>
      <c r="K617" s="16"/>
      <c r="L617" s="37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38"/>
      <c r="Z617" s="34"/>
      <c r="AA617" s="18"/>
    </row>
    <row r="618" ht="21.0" customHeight="1">
      <c r="A618" s="18"/>
      <c r="B618" s="33"/>
      <c r="C618" s="34"/>
      <c r="D618" s="33"/>
      <c r="E618" s="18"/>
      <c r="F618" s="16"/>
      <c r="G618" s="16"/>
      <c r="H618" s="16"/>
      <c r="I618" s="16"/>
      <c r="J618" s="16"/>
      <c r="K618" s="16"/>
      <c r="L618" s="37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38"/>
      <c r="Z618" s="34"/>
      <c r="AA618" s="18"/>
    </row>
    <row r="619" ht="21.0" customHeight="1">
      <c r="A619" s="18"/>
      <c r="B619" s="33"/>
      <c r="C619" s="34"/>
      <c r="D619" s="33"/>
      <c r="E619" s="18"/>
      <c r="F619" s="16"/>
      <c r="G619" s="16"/>
      <c r="H619" s="16"/>
      <c r="I619" s="16"/>
      <c r="J619" s="16"/>
      <c r="K619" s="16"/>
      <c r="L619" s="37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38"/>
      <c r="Z619" s="34"/>
      <c r="AA619" s="18"/>
    </row>
    <row r="620" ht="21.0" customHeight="1">
      <c r="A620" s="18"/>
      <c r="B620" s="33"/>
      <c r="C620" s="34"/>
      <c r="D620" s="33"/>
      <c r="E620" s="18"/>
      <c r="F620" s="16"/>
      <c r="G620" s="16"/>
      <c r="H620" s="16"/>
      <c r="I620" s="16"/>
      <c r="J620" s="16"/>
      <c r="K620" s="16"/>
      <c r="L620" s="37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38"/>
      <c r="Z620" s="34"/>
      <c r="AA620" s="18"/>
    </row>
    <row r="621" ht="21.0" customHeight="1">
      <c r="A621" s="18"/>
      <c r="B621" s="33"/>
      <c r="C621" s="34"/>
      <c r="D621" s="33"/>
      <c r="E621" s="18"/>
      <c r="F621" s="16"/>
      <c r="G621" s="16"/>
      <c r="H621" s="16"/>
      <c r="I621" s="16"/>
      <c r="J621" s="16"/>
      <c r="K621" s="16"/>
      <c r="L621" s="37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38"/>
      <c r="Z621" s="34"/>
      <c r="AA621" s="18"/>
    </row>
    <row r="622" ht="21.0" customHeight="1">
      <c r="A622" s="18"/>
      <c r="B622" s="33"/>
      <c r="C622" s="34"/>
      <c r="D622" s="33"/>
      <c r="E622" s="18"/>
      <c r="F622" s="16"/>
      <c r="G622" s="16"/>
      <c r="H622" s="16"/>
      <c r="I622" s="16"/>
      <c r="J622" s="16"/>
      <c r="K622" s="16"/>
      <c r="L622" s="37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38"/>
      <c r="Z622" s="34"/>
      <c r="AA622" s="18"/>
    </row>
    <row r="623" ht="21.0" customHeight="1">
      <c r="A623" s="18"/>
      <c r="B623" s="33"/>
      <c r="C623" s="34"/>
      <c r="D623" s="33"/>
      <c r="E623" s="18"/>
      <c r="F623" s="16"/>
      <c r="G623" s="16"/>
      <c r="H623" s="16"/>
      <c r="I623" s="16"/>
      <c r="J623" s="16"/>
      <c r="K623" s="16"/>
      <c r="L623" s="37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38"/>
      <c r="Z623" s="34"/>
      <c r="AA623" s="18"/>
    </row>
    <row r="624" ht="21.0" customHeight="1">
      <c r="A624" s="18"/>
      <c r="B624" s="33"/>
      <c r="C624" s="34"/>
      <c r="D624" s="33"/>
      <c r="E624" s="18"/>
      <c r="F624" s="16"/>
      <c r="G624" s="16"/>
      <c r="H624" s="16"/>
      <c r="I624" s="16"/>
      <c r="J624" s="16"/>
      <c r="K624" s="16"/>
      <c r="L624" s="37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38"/>
      <c r="Z624" s="34"/>
      <c r="AA624" s="18"/>
    </row>
    <row r="625" ht="21.0" customHeight="1">
      <c r="A625" s="18"/>
      <c r="B625" s="33"/>
      <c r="C625" s="34"/>
      <c r="D625" s="33"/>
      <c r="E625" s="18"/>
      <c r="F625" s="16"/>
      <c r="G625" s="16"/>
      <c r="H625" s="16"/>
      <c r="I625" s="16"/>
      <c r="J625" s="16"/>
      <c r="K625" s="16"/>
      <c r="L625" s="37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38"/>
      <c r="Z625" s="34"/>
      <c r="AA625" s="18"/>
    </row>
    <row r="626" ht="21.0" customHeight="1">
      <c r="A626" s="18"/>
      <c r="B626" s="33"/>
      <c r="C626" s="34"/>
      <c r="D626" s="33"/>
      <c r="E626" s="18"/>
      <c r="F626" s="16"/>
      <c r="G626" s="16"/>
      <c r="H626" s="16"/>
      <c r="I626" s="16"/>
      <c r="J626" s="16"/>
      <c r="K626" s="16"/>
      <c r="L626" s="37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38"/>
      <c r="Z626" s="34"/>
      <c r="AA626" s="18"/>
    </row>
    <row r="627" ht="21.0" customHeight="1">
      <c r="A627" s="18"/>
      <c r="B627" s="33"/>
      <c r="C627" s="34"/>
      <c r="D627" s="33"/>
      <c r="E627" s="18"/>
      <c r="F627" s="16"/>
      <c r="G627" s="16"/>
      <c r="H627" s="16"/>
      <c r="I627" s="16"/>
      <c r="J627" s="16"/>
      <c r="K627" s="16"/>
      <c r="L627" s="37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38"/>
      <c r="Z627" s="34"/>
      <c r="AA627" s="18"/>
    </row>
    <row r="628" ht="21.0" customHeight="1">
      <c r="A628" s="18"/>
      <c r="B628" s="33"/>
      <c r="C628" s="34"/>
      <c r="D628" s="33"/>
      <c r="E628" s="18"/>
      <c r="F628" s="16"/>
      <c r="G628" s="16"/>
      <c r="H628" s="16"/>
      <c r="I628" s="16"/>
      <c r="J628" s="16"/>
      <c r="K628" s="16"/>
      <c r="L628" s="37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38"/>
      <c r="Z628" s="34"/>
      <c r="AA628" s="18"/>
    </row>
    <row r="629" ht="21.0" customHeight="1">
      <c r="A629" s="18"/>
      <c r="B629" s="33"/>
      <c r="C629" s="34"/>
      <c r="D629" s="33"/>
      <c r="E629" s="18"/>
      <c r="F629" s="16"/>
      <c r="G629" s="16"/>
      <c r="H629" s="16"/>
      <c r="I629" s="16"/>
      <c r="J629" s="16"/>
      <c r="K629" s="16"/>
      <c r="L629" s="37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38"/>
      <c r="Z629" s="34"/>
      <c r="AA629" s="18"/>
    </row>
    <row r="630" ht="21.0" customHeight="1">
      <c r="A630" s="18"/>
      <c r="B630" s="33"/>
      <c r="C630" s="34"/>
      <c r="D630" s="33"/>
      <c r="E630" s="18"/>
      <c r="F630" s="16"/>
      <c r="G630" s="16"/>
      <c r="H630" s="16"/>
      <c r="I630" s="16"/>
      <c r="J630" s="16"/>
      <c r="K630" s="16"/>
      <c r="L630" s="37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38"/>
      <c r="Z630" s="34"/>
      <c r="AA630" s="18"/>
    </row>
    <row r="631" ht="21.0" customHeight="1">
      <c r="A631" s="18"/>
      <c r="B631" s="33"/>
      <c r="C631" s="34"/>
      <c r="D631" s="33"/>
      <c r="E631" s="18"/>
      <c r="F631" s="16"/>
      <c r="G631" s="16"/>
      <c r="H631" s="16"/>
      <c r="I631" s="16"/>
      <c r="J631" s="16"/>
      <c r="K631" s="16"/>
      <c r="L631" s="37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38"/>
      <c r="Z631" s="34"/>
      <c r="AA631" s="18"/>
    </row>
    <row r="632" ht="21.0" customHeight="1">
      <c r="A632" s="18"/>
      <c r="B632" s="33"/>
      <c r="C632" s="34"/>
      <c r="D632" s="33"/>
      <c r="E632" s="18"/>
      <c r="F632" s="16"/>
      <c r="G632" s="16"/>
      <c r="H632" s="16"/>
      <c r="I632" s="16"/>
      <c r="J632" s="16"/>
      <c r="K632" s="16"/>
      <c r="L632" s="37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38"/>
      <c r="Z632" s="34"/>
      <c r="AA632" s="18"/>
    </row>
    <row r="633" ht="21.0" customHeight="1">
      <c r="A633" s="18"/>
      <c r="B633" s="33"/>
      <c r="C633" s="34"/>
      <c r="D633" s="33"/>
      <c r="E633" s="18"/>
      <c r="F633" s="16"/>
      <c r="G633" s="16"/>
      <c r="H633" s="16"/>
      <c r="I633" s="16"/>
      <c r="J633" s="16"/>
      <c r="K633" s="16"/>
      <c r="L633" s="37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38"/>
      <c r="Z633" s="34"/>
      <c r="AA633" s="18"/>
    </row>
    <row r="634" ht="21.0" customHeight="1">
      <c r="A634" s="18"/>
      <c r="B634" s="33"/>
      <c r="C634" s="34"/>
      <c r="D634" s="33"/>
      <c r="E634" s="18"/>
      <c r="F634" s="16"/>
      <c r="G634" s="16"/>
      <c r="H634" s="16"/>
      <c r="I634" s="16"/>
      <c r="J634" s="16"/>
      <c r="K634" s="16"/>
      <c r="L634" s="37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38"/>
      <c r="Z634" s="34"/>
      <c r="AA634" s="18"/>
    </row>
    <row r="635" ht="21.0" customHeight="1">
      <c r="A635" s="18"/>
      <c r="B635" s="33"/>
      <c r="C635" s="34"/>
      <c r="D635" s="33"/>
      <c r="E635" s="18"/>
      <c r="F635" s="16"/>
      <c r="G635" s="16"/>
      <c r="H635" s="16"/>
      <c r="I635" s="16"/>
      <c r="J635" s="16"/>
      <c r="K635" s="16"/>
      <c r="L635" s="37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38"/>
      <c r="Z635" s="34"/>
      <c r="AA635" s="18"/>
    </row>
    <row r="636" ht="21.0" customHeight="1">
      <c r="A636" s="18"/>
      <c r="B636" s="33"/>
      <c r="C636" s="34"/>
      <c r="D636" s="33"/>
      <c r="E636" s="18"/>
      <c r="F636" s="16"/>
      <c r="G636" s="16"/>
      <c r="H636" s="16"/>
      <c r="I636" s="16"/>
      <c r="J636" s="16"/>
      <c r="K636" s="16"/>
      <c r="L636" s="37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38"/>
      <c r="Z636" s="34"/>
      <c r="AA636" s="18"/>
    </row>
    <row r="637" ht="21.0" customHeight="1">
      <c r="A637" s="18"/>
      <c r="B637" s="33"/>
      <c r="C637" s="34"/>
      <c r="D637" s="33"/>
      <c r="E637" s="18"/>
      <c r="F637" s="16"/>
      <c r="G637" s="16"/>
      <c r="H637" s="16"/>
      <c r="I637" s="16"/>
      <c r="J637" s="16"/>
      <c r="K637" s="16"/>
      <c r="L637" s="37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38"/>
      <c r="Z637" s="34"/>
      <c r="AA637" s="18"/>
    </row>
    <row r="638" ht="21.0" customHeight="1">
      <c r="A638" s="18"/>
      <c r="B638" s="33"/>
      <c r="C638" s="34"/>
      <c r="D638" s="33"/>
      <c r="E638" s="18"/>
      <c r="F638" s="16"/>
      <c r="G638" s="16"/>
      <c r="H638" s="16"/>
      <c r="I638" s="16"/>
      <c r="J638" s="16"/>
      <c r="K638" s="16"/>
      <c r="L638" s="37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38"/>
      <c r="Z638" s="34"/>
      <c r="AA638" s="18"/>
    </row>
    <row r="639" ht="21.0" customHeight="1">
      <c r="A639" s="18"/>
      <c r="B639" s="33"/>
      <c r="C639" s="34"/>
      <c r="D639" s="33"/>
      <c r="E639" s="18"/>
      <c r="F639" s="16"/>
      <c r="G639" s="16"/>
      <c r="H639" s="16"/>
      <c r="I639" s="16"/>
      <c r="J639" s="16"/>
      <c r="K639" s="16"/>
      <c r="L639" s="37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38"/>
      <c r="Z639" s="34"/>
      <c r="AA639" s="18"/>
    </row>
    <row r="640" ht="21.0" customHeight="1">
      <c r="A640" s="18"/>
      <c r="B640" s="33"/>
      <c r="C640" s="34"/>
      <c r="D640" s="33"/>
      <c r="E640" s="18"/>
      <c r="F640" s="16"/>
      <c r="G640" s="16"/>
      <c r="H640" s="16"/>
      <c r="I640" s="16"/>
      <c r="J640" s="16"/>
      <c r="K640" s="16"/>
      <c r="L640" s="37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38"/>
      <c r="Z640" s="34"/>
      <c r="AA640" s="18"/>
    </row>
    <row r="641" ht="21.0" customHeight="1">
      <c r="A641" s="18"/>
      <c r="B641" s="33"/>
      <c r="C641" s="34"/>
      <c r="D641" s="33"/>
      <c r="E641" s="18"/>
      <c r="F641" s="16"/>
      <c r="G641" s="16"/>
      <c r="H641" s="16"/>
      <c r="I641" s="16"/>
      <c r="J641" s="16"/>
      <c r="K641" s="16"/>
      <c r="L641" s="37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38"/>
      <c r="Z641" s="34"/>
      <c r="AA641" s="18"/>
    </row>
    <row r="642" ht="21.0" customHeight="1">
      <c r="A642" s="18"/>
      <c r="B642" s="33"/>
      <c r="C642" s="34"/>
      <c r="D642" s="33"/>
      <c r="E642" s="18"/>
      <c r="F642" s="16"/>
      <c r="G642" s="16"/>
      <c r="H642" s="16"/>
      <c r="I642" s="16"/>
      <c r="J642" s="16"/>
      <c r="K642" s="16"/>
      <c r="L642" s="37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38"/>
      <c r="Z642" s="34"/>
      <c r="AA642" s="18"/>
    </row>
    <row r="643" ht="21.0" customHeight="1">
      <c r="A643" s="18"/>
      <c r="B643" s="33"/>
      <c r="C643" s="34"/>
      <c r="D643" s="33"/>
      <c r="E643" s="18"/>
      <c r="F643" s="16"/>
      <c r="G643" s="16"/>
      <c r="H643" s="16"/>
      <c r="I643" s="16"/>
      <c r="J643" s="16"/>
      <c r="K643" s="16"/>
      <c r="L643" s="37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38"/>
      <c r="Z643" s="34"/>
      <c r="AA643" s="18"/>
    </row>
    <row r="644" ht="21.0" customHeight="1">
      <c r="A644" s="18"/>
      <c r="B644" s="33"/>
      <c r="C644" s="34"/>
      <c r="D644" s="33"/>
      <c r="E644" s="18"/>
      <c r="F644" s="16"/>
      <c r="G644" s="16"/>
      <c r="H644" s="16"/>
      <c r="I644" s="16"/>
      <c r="J644" s="16"/>
      <c r="K644" s="16"/>
      <c r="L644" s="37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38"/>
      <c r="Z644" s="34"/>
      <c r="AA644" s="18"/>
    </row>
    <row r="645" ht="21.0" customHeight="1">
      <c r="A645" s="18"/>
      <c r="B645" s="33"/>
      <c r="C645" s="34"/>
      <c r="D645" s="33"/>
      <c r="E645" s="18"/>
      <c r="F645" s="16"/>
      <c r="G645" s="16"/>
      <c r="H645" s="16"/>
      <c r="I645" s="16"/>
      <c r="J645" s="16"/>
      <c r="K645" s="16"/>
      <c r="L645" s="37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38"/>
      <c r="Z645" s="34"/>
      <c r="AA645" s="18"/>
    </row>
    <row r="646" ht="21.0" customHeight="1">
      <c r="A646" s="18"/>
      <c r="B646" s="33"/>
      <c r="C646" s="34"/>
      <c r="D646" s="33"/>
      <c r="E646" s="18"/>
      <c r="F646" s="16"/>
      <c r="G646" s="16"/>
      <c r="H646" s="16"/>
      <c r="I646" s="16"/>
      <c r="J646" s="16"/>
      <c r="K646" s="16"/>
      <c r="L646" s="37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38"/>
      <c r="Z646" s="34"/>
      <c r="AA646" s="18"/>
    </row>
    <row r="647" ht="21.0" customHeight="1">
      <c r="A647" s="18"/>
      <c r="B647" s="33"/>
      <c r="C647" s="34"/>
      <c r="D647" s="33"/>
      <c r="E647" s="18"/>
      <c r="F647" s="16"/>
      <c r="G647" s="16"/>
      <c r="H647" s="16"/>
      <c r="I647" s="16"/>
      <c r="J647" s="16"/>
      <c r="K647" s="16"/>
      <c r="L647" s="37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38"/>
      <c r="Z647" s="34"/>
      <c r="AA647" s="18"/>
    </row>
    <row r="648" ht="21.0" customHeight="1">
      <c r="A648" s="18"/>
      <c r="B648" s="33"/>
      <c r="C648" s="34"/>
      <c r="D648" s="33"/>
      <c r="E648" s="18"/>
      <c r="F648" s="16"/>
      <c r="G648" s="16"/>
      <c r="H648" s="16"/>
      <c r="I648" s="16"/>
      <c r="J648" s="16"/>
      <c r="K648" s="16"/>
      <c r="L648" s="37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38"/>
      <c r="Z648" s="34"/>
      <c r="AA648" s="18"/>
    </row>
    <row r="649" ht="21.0" customHeight="1">
      <c r="A649" s="18"/>
      <c r="B649" s="33"/>
      <c r="C649" s="34"/>
      <c r="D649" s="33"/>
      <c r="E649" s="18"/>
      <c r="F649" s="16"/>
      <c r="G649" s="16"/>
      <c r="H649" s="16"/>
      <c r="I649" s="16"/>
      <c r="J649" s="16"/>
      <c r="K649" s="16"/>
      <c r="L649" s="37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38"/>
      <c r="Z649" s="34"/>
      <c r="AA649" s="18"/>
    </row>
    <row r="650" ht="21.0" customHeight="1">
      <c r="A650" s="18"/>
      <c r="B650" s="33"/>
      <c r="C650" s="34"/>
      <c r="D650" s="33"/>
      <c r="E650" s="18"/>
      <c r="F650" s="16"/>
      <c r="G650" s="16"/>
      <c r="H650" s="16"/>
      <c r="I650" s="16"/>
      <c r="J650" s="16"/>
      <c r="K650" s="16"/>
      <c r="L650" s="37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38"/>
      <c r="Z650" s="34"/>
      <c r="AA650" s="18"/>
    </row>
    <row r="651" ht="21.0" customHeight="1">
      <c r="A651" s="18"/>
      <c r="B651" s="33"/>
      <c r="C651" s="34"/>
      <c r="D651" s="33"/>
      <c r="E651" s="18"/>
      <c r="F651" s="16"/>
      <c r="G651" s="16"/>
      <c r="H651" s="16"/>
      <c r="I651" s="16"/>
      <c r="J651" s="16"/>
      <c r="K651" s="16"/>
      <c r="L651" s="37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38"/>
      <c r="Z651" s="34"/>
      <c r="AA651" s="18"/>
    </row>
    <row r="652" ht="21.0" customHeight="1">
      <c r="A652" s="18"/>
      <c r="B652" s="33"/>
      <c r="C652" s="34"/>
      <c r="D652" s="33"/>
      <c r="E652" s="18"/>
      <c r="F652" s="16"/>
      <c r="G652" s="16"/>
      <c r="H652" s="16"/>
      <c r="I652" s="16"/>
      <c r="J652" s="16"/>
      <c r="K652" s="16"/>
      <c r="L652" s="37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38"/>
      <c r="Z652" s="34"/>
      <c r="AA652" s="18"/>
    </row>
    <row r="653" ht="21.0" customHeight="1">
      <c r="A653" s="18"/>
      <c r="B653" s="33"/>
      <c r="C653" s="34"/>
      <c r="D653" s="33"/>
      <c r="E653" s="18"/>
      <c r="F653" s="16"/>
      <c r="G653" s="16"/>
      <c r="H653" s="16"/>
      <c r="I653" s="16"/>
      <c r="J653" s="16"/>
      <c r="K653" s="16"/>
      <c r="L653" s="37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38"/>
      <c r="Z653" s="34"/>
      <c r="AA653" s="18"/>
    </row>
    <row r="654" ht="21.0" customHeight="1">
      <c r="A654" s="18"/>
      <c r="B654" s="33"/>
      <c r="C654" s="34"/>
      <c r="D654" s="33"/>
      <c r="E654" s="18"/>
      <c r="F654" s="16"/>
      <c r="G654" s="16"/>
      <c r="H654" s="16"/>
      <c r="I654" s="16"/>
      <c r="J654" s="16"/>
      <c r="K654" s="16"/>
      <c r="L654" s="37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38"/>
      <c r="Z654" s="34"/>
      <c r="AA654" s="18"/>
    </row>
    <row r="655" ht="21.0" customHeight="1">
      <c r="A655" s="18"/>
      <c r="B655" s="33"/>
      <c r="C655" s="34"/>
      <c r="D655" s="33"/>
      <c r="E655" s="18"/>
      <c r="F655" s="16"/>
      <c r="G655" s="16"/>
      <c r="H655" s="16"/>
      <c r="I655" s="16"/>
      <c r="J655" s="16"/>
      <c r="K655" s="16"/>
      <c r="L655" s="37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38"/>
      <c r="Z655" s="34"/>
      <c r="AA655" s="18"/>
    </row>
    <row r="656" ht="21.0" customHeight="1">
      <c r="A656" s="18"/>
      <c r="B656" s="33"/>
      <c r="C656" s="34"/>
      <c r="D656" s="33"/>
      <c r="E656" s="18"/>
      <c r="F656" s="16"/>
      <c r="G656" s="16"/>
      <c r="H656" s="16"/>
      <c r="I656" s="16"/>
      <c r="J656" s="16"/>
      <c r="K656" s="16"/>
      <c r="L656" s="37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38"/>
      <c r="Z656" s="34"/>
      <c r="AA656" s="18"/>
    </row>
    <row r="657" ht="21.0" customHeight="1">
      <c r="A657" s="18"/>
      <c r="B657" s="33"/>
      <c r="C657" s="34"/>
      <c r="D657" s="33"/>
      <c r="E657" s="18"/>
      <c r="F657" s="16"/>
      <c r="G657" s="16"/>
      <c r="H657" s="16"/>
      <c r="I657" s="16"/>
      <c r="J657" s="16"/>
      <c r="K657" s="16"/>
      <c r="L657" s="37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38"/>
      <c r="Z657" s="34"/>
      <c r="AA657" s="18"/>
    </row>
    <row r="658" ht="21.0" customHeight="1">
      <c r="A658" s="18"/>
      <c r="B658" s="33"/>
      <c r="C658" s="34"/>
      <c r="D658" s="33"/>
      <c r="E658" s="18"/>
      <c r="F658" s="16"/>
      <c r="G658" s="16"/>
      <c r="H658" s="16"/>
      <c r="I658" s="16"/>
      <c r="J658" s="16"/>
      <c r="K658" s="16"/>
      <c r="L658" s="37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38"/>
      <c r="Z658" s="34"/>
      <c r="AA658" s="18"/>
    </row>
    <row r="659" ht="21.0" customHeight="1">
      <c r="A659" s="18"/>
      <c r="B659" s="33"/>
      <c r="C659" s="34"/>
      <c r="D659" s="33"/>
      <c r="E659" s="18"/>
      <c r="F659" s="16"/>
      <c r="G659" s="16"/>
      <c r="H659" s="16"/>
      <c r="I659" s="16"/>
      <c r="J659" s="16"/>
      <c r="K659" s="16"/>
      <c r="L659" s="37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38"/>
      <c r="Z659" s="34"/>
      <c r="AA659" s="18"/>
    </row>
    <row r="660" ht="21.0" customHeight="1">
      <c r="A660" s="18"/>
      <c r="B660" s="33"/>
      <c r="C660" s="34"/>
      <c r="D660" s="33"/>
      <c r="E660" s="18"/>
      <c r="F660" s="16"/>
      <c r="G660" s="16"/>
      <c r="H660" s="16"/>
      <c r="I660" s="16"/>
      <c r="J660" s="16"/>
      <c r="K660" s="16"/>
      <c r="L660" s="37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38"/>
      <c r="Z660" s="34"/>
      <c r="AA660" s="18"/>
    </row>
    <row r="661" ht="21.0" customHeight="1">
      <c r="A661" s="18"/>
      <c r="B661" s="33"/>
      <c r="C661" s="34"/>
      <c r="D661" s="33"/>
      <c r="E661" s="18"/>
      <c r="F661" s="16"/>
      <c r="G661" s="16"/>
      <c r="H661" s="16"/>
      <c r="I661" s="16"/>
      <c r="J661" s="16"/>
      <c r="K661" s="16"/>
      <c r="L661" s="37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38"/>
      <c r="Z661" s="34"/>
      <c r="AA661" s="18"/>
    </row>
    <row r="662" ht="21.0" customHeight="1">
      <c r="A662" s="18"/>
      <c r="B662" s="33"/>
      <c r="C662" s="34"/>
      <c r="D662" s="33"/>
      <c r="E662" s="18"/>
      <c r="F662" s="16"/>
      <c r="G662" s="16"/>
      <c r="H662" s="16"/>
      <c r="I662" s="16"/>
      <c r="J662" s="16"/>
      <c r="K662" s="16"/>
      <c r="L662" s="37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38"/>
      <c r="Z662" s="34"/>
      <c r="AA662" s="18"/>
    </row>
    <row r="663" ht="21.0" customHeight="1">
      <c r="A663" s="18"/>
      <c r="B663" s="33"/>
      <c r="C663" s="34"/>
      <c r="D663" s="33"/>
      <c r="E663" s="18"/>
      <c r="F663" s="16"/>
      <c r="G663" s="16"/>
      <c r="H663" s="16"/>
      <c r="I663" s="16"/>
      <c r="J663" s="16"/>
      <c r="K663" s="16"/>
      <c r="L663" s="37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38"/>
      <c r="Z663" s="34"/>
      <c r="AA663" s="18"/>
    </row>
    <row r="664" ht="21.0" customHeight="1">
      <c r="A664" s="18"/>
      <c r="B664" s="33"/>
      <c r="C664" s="34"/>
      <c r="D664" s="33"/>
      <c r="E664" s="18"/>
      <c r="F664" s="16"/>
      <c r="G664" s="16"/>
      <c r="H664" s="16"/>
      <c r="I664" s="16"/>
      <c r="J664" s="16"/>
      <c r="K664" s="16"/>
      <c r="L664" s="37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38"/>
      <c r="Z664" s="34"/>
      <c r="AA664" s="18"/>
    </row>
    <row r="665" ht="21.0" customHeight="1">
      <c r="A665" s="18"/>
      <c r="B665" s="33"/>
      <c r="C665" s="34"/>
      <c r="D665" s="33"/>
      <c r="E665" s="18"/>
      <c r="F665" s="16"/>
      <c r="G665" s="16"/>
      <c r="H665" s="16"/>
      <c r="I665" s="16"/>
      <c r="J665" s="16"/>
      <c r="K665" s="16"/>
      <c r="L665" s="37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38"/>
      <c r="Z665" s="34"/>
      <c r="AA665" s="18"/>
    </row>
    <row r="666" ht="21.0" customHeight="1">
      <c r="A666" s="18"/>
      <c r="B666" s="33"/>
      <c r="C666" s="34"/>
      <c r="D666" s="33"/>
      <c r="E666" s="18"/>
      <c r="F666" s="16"/>
      <c r="G666" s="16"/>
      <c r="H666" s="16"/>
      <c r="I666" s="16"/>
      <c r="J666" s="16"/>
      <c r="K666" s="16"/>
      <c r="L666" s="37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38"/>
      <c r="Z666" s="34"/>
      <c r="AA666" s="18"/>
    </row>
    <row r="667" ht="21.0" customHeight="1">
      <c r="A667" s="18"/>
      <c r="B667" s="33"/>
      <c r="C667" s="34"/>
      <c r="D667" s="33"/>
      <c r="E667" s="18"/>
      <c r="F667" s="16"/>
      <c r="G667" s="16"/>
      <c r="H667" s="16"/>
      <c r="I667" s="16"/>
      <c r="J667" s="16"/>
      <c r="K667" s="16"/>
      <c r="L667" s="37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38"/>
      <c r="Z667" s="34"/>
      <c r="AA667" s="18"/>
    </row>
    <row r="668" ht="21.0" customHeight="1">
      <c r="A668" s="18"/>
      <c r="B668" s="33"/>
      <c r="C668" s="34"/>
      <c r="D668" s="33"/>
      <c r="E668" s="18"/>
      <c r="F668" s="16"/>
      <c r="G668" s="16"/>
      <c r="H668" s="16"/>
      <c r="I668" s="16"/>
      <c r="J668" s="16"/>
      <c r="K668" s="16"/>
      <c r="L668" s="37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38"/>
      <c r="Z668" s="34"/>
      <c r="AA668" s="18"/>
    </row>
    <row r="669" ht="21.0" customHeight="1">
      <c r="A669" s="18"/>
      <c r="B669" s="33"/>
      <c r="C669" s="34"/>
      <c r="D669" s="33"/>
      <c r="E669" s="18"/>
      <c r="F669" s="16"/>
      <c r="G669" s="16"/>
      <c r="H669" s="16"/>
      <c r="I669" s="16"/>
      <c r="J669" s="16"/>
      <c r="K669" s="16"/>
      <c r="L669" s="37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38"/>
      <c r="Z669" s="34"/>
      <c r="AA669" s="18"/>
    </row>
    <row r="670" ht="21.0" customHeight="1">
      <c r="A670" s="18"/>
      <c r="B670" s="33"/>
      <c r="C670" s="34"/>
      <c r="D670" s="33"/>
      <c r="E670" s="18"/>
      <c r="F670" s="16"/>
      <c r="G670" s="16"/>
      <c r="H670" s="16"/>
      <c r="I670" s="16"/>
      <c r="J670" s="16"/>
      <c r="K670" s="16"/>
      <c r="L670" s="37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38"/>
      <c r="Z670" s="34"/>
      <c r="AA670" s="18"/>
    </row>
    <row r="671" ht="21.0" customHeight="1">
      <c r="A671" s="18"/>
      <c r="B671" s="33"/>
      <c r="C671" s="34"/>
      <c r="D671" s="33"/>
      <c r="E671" s="18"/>
      <c r="F671" s="16"/>
      <c r="G671" s="16"/>
      <c r="H671" s="16"/>
      <c r="I671" s="16"/>
      <c r="J671" s="16"/>
      <c r="K671" s="16"/>
      <c r="L671" s="37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38"/>
      <c r="Z671" s="34"/>
      <c r="AA671" s="18"/>
    </row>
    <row r="672" ht="21.0" customHeight="1">
      <c r="A672" s="18"/>
      <c r="B672" s="33"/>
      <c r="C672" s="34"/>
      <c r="D672" s="33"/>
      <c r="E672" s="18"/>
      <c r="F672" s="16"/>
      <c r="G672" s="16"/>
      <c r="H672" s="16"/>
      <c r="I672" s="16"/>
      <c r="J672" s="16"/>
      <c r="K672" s="16"/>
      <c r="L672" s="37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38"/>
      <c r="Z672" s="34"/>
      <c r="AA672" s="18"/>
    </row>
    <row r="673" ht="21.0" customHeight="1">
      <c r="A673" s="18"/>
      <c r="B673" s="33"/>
      <c r="C673" s="34"/>
      <c r="D673" s="33"/>
      <c r="E673" s="18"/>
      <c r="F673" s="16"/>
      <c r="G673" s="16"/>
      <c r="H673" s="16"/>
      <c r="I673" s="16"/>
      <c r="J673" s="16"/>
      <c r="K673" s="16"/>
      <c r="L673" s="37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38"/>
      <c r="Z673" s="34"/>
      <c r="AA673" s="18"/>
    </row>
    <row r="674" ht="21.0" customHeight="1">
      <c r="A674" s="18"/>
      <c r="B674" s="33"/>
      <c r="C674" s="34"/>
      <c r="D674" s="33"/>
      <c r="E674" s="18"/>
      <c r="F674" s="16"/>
      <c r="G674" s="16"/>
      <c r="H674" s="16"/>
      <c r="I674" s="16"/>
      <c r="J674" s="16"/>
      <c r="K674" s="16"/>
      <c r="L674" s="37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38"/>
      <c r="Z674" s="34"/>
      <c r="AA674" s="18"/>
    </row>
    <row r="675" ht="21.0" customHeight="1">
      <c r="A675" s="18"/>
      <c r="B675" s="33"/>
      <c r="C675" s="34"/>
      <c r="D675" s="33"/>
      <c r="E675" s="18"/>
      <c r="F675" s="16"/>
      <c r="G675" s="16"/>
      <c r="H675" s="16"/>
      <c r="I675" s="16"/>
      <c r="J675" s="16"/>
      <c r="K675" s="16"/>
      <c r="L675" s="37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38"/>
      <c r="Z675" s="34"/>
      <c r="AA675" s="18"/>
    </row>
    <row r="676" ht="21.0" customHeight="1">
      <c r="A676" s="18"/>
      <c r="B676" s="33"/>
      <c r="C676" s="34"/>
      <c r="D676" s="33"/>
      <c r="E676" s="18"/>
      <c r="F676" s="16"/>
      <c r="G676" s="16"/>
      <c r="H676" s="16"/>
      <c r="I676" s="16"/>
      <c r="J676" s="16"/>
      <c r="K676" s="16"/>
      <c r="L676" s="37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38"/>
      <c r="Z676" s="34"/>
      <c r="AA676" s="18"/>
    </row>
    <row r="677" ht="21.0" customHeight="1">
      <c r="A677" s="18"/>
      <c r="B677" s="33"/>
      <c r="C677" s="34"/>
      <c r="D677" s="33"/>
      <c r="E677" s="18"/>
      <c r="F677" s="16"/>
      <c r="G677" s="16"/>
      <c r="H677" s="16"/>
      <c r="I677" s="16"/>
      <c r="J677" s="16"/>
      <c r="K677" s="16"/>
      <c r="L677" s="37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38"/>
      <c r="Z677" s="34"/>
      <c r="AA677" s="18"/>
    </row>
    <row r="678" ht="21.0" customHeight="1">
      <c r="A678" s="18"/>
      <c r="B678" s="33"/>
      <c r="C678" s="34"/>
      <c r="D678" s="33"/>
      <c r="E678" s="18"/>
      <c r="F678" s="16"/>
      <c r="G678" s="16"/>
      <c r="H678" s="16"/>
      <c r="I678" s="16"/>
      <c r="J678" s="16"/>
      <c r="K678" s="16"/>
      <c r="L678" s="37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38"/>
      <c r="Z678" s="34"/>
      <c r="AA678" s="18"/>
    </row>
    <row r="679" ht="21.0" customHeight="1">
      <c r="A679" s="18"/>
      <c r="B679" s="33"/>
      <c r="C679" s="34"/>
      <c r="D679" s="33"/>
      <c r="E679" s="18"/>
      <c r="F679" s="16"/>
      <c r="G679" s="16"/>
      <c r="H679" s="16"/>
      <c r="I679" s="16"/>
      <c r="J679" s="16"/>
      <c r="K679" s="16"/>
      <c r="L679" s="37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38"/>
      <c r="Z679" s="34"/>
      <c r="AA679" s="18"/>
    </row>
    <row r="680" ht="21.0" customHeight="1">
      <c r="A680" s="18"/>
      <c r="B680" s="33"/>
      <c r="C680" s="34"/>
      <c r="D680" s="33"/>
      <c r="E680" s="18"/>
      <c r="F680" s="16"/>
      <c r="G680" s="16"/>
      <c r="H680" s="16"/>
      <c r="I680" s="16"/>
      <c r="J680" s="16"/>
      <c r="K680" s="16"/>
      <c r="L680" s="37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38"/>
      <c r="Z680" s="34"/>
      <c r="AA680" s="18"/>
    </row>
    <row r="681" ht="21.0" customHeight="1">
      <c r="A681" s="18"/>
      <c r="B681" s="33"/>
      <c r="C681" s="34"/>
      <c r="D681" s="33"/>
      <c r="E681" s="18"/>
      <c r="F681" s="16"/>
      <c r="G681" s="16"/>
      <c r="H681" s="16"/>
      <c r="I681" s="16"/>
      <c r="J681" s="16"/>
      <c r="K681" s="16"/>
      <c r="L681" s="37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38"/>
      <c r="Z681" s="34"/>
      <c r="AA681" s="18"/>
    </row>
    <row r="682" ht="21.0" customHeight="1">
      <c r="A682" s="18"/>
      <c r="B682" s="33"/>
      <c r="C682" s="34"/>
      <c r="D682" s="33"/>
      <c r="E682" s="18"/>
      <c r="F682" s="16"/>
      <c r="G682" s="16"/>
      <c r="H682" s="16"/>
      <c r="I682" s="16"/>
      <c r="J682" s="16"/>
      <c r="K682" s="16"/>
      <c r="L682" s="37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38"/>
      <c r="Z682" s="34"/>
      <c r="AA682" s="18"/>
    </row>
    <row r="683" ht="21.0" customHeight="1">
      <c r="A683" s="18"/>
      <c r="B683" s="33"/>
      <c r="C683" s="34"/>
      <c r="D683" s="33"/>
      <c r="E683" s="18"/>
      <c r="F683" s="16"/>
      <c r="G683" s="16"/>
      <c r="H683" s="16"/>
      <c r="I683" s="16"/>
      <c r="J683" s="16"/>
      <c r="K683" s="16"/>
      <c r="L683" s="37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38"/>
      <c r="Z683" s="34"/>
      <c r="AA683" s="18"/>
    </row>
    <row r="684" ht="21.0" customHeight="1">
      <c r="A684" s="18"/>
      <c r="B684" s="33"/>
      <c r="C684" s="34"/>
      <c r="D684" s="33"/>
      <c r="E684" s="18"/>
      <c r="F684" s="16"/>
      <c r="G684" s="16"/>
      <c r="H684" s="16"/>
      <c r="I684" s="16"/>
      <c r="J684" s="16"/>
      <c r="K684" s="16"/>
      <c r="L684" s="37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38"/>
      <c r="Z684" s="34"/>
      <c r="AA684" s="18"/>
    </row>
    <row r="685" ht="21.0" customHeight="1">
      <c r="A685" s="18"/>
      <c r="B685" s="33"/>
      <c r="C685" s="34"/>
      <c r="D685" s="33"/>
      <c r="E685" s="18"/>
      <c r="F685" s="16"/>
      <c r="G685" s="16"/>
      <c r="H685" s="16"/>
      <c r="I685" s="16"/>
      <c r="J685" s="16"/>
      <c r="K685" s="16"/>
      <c r="L685" s="37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38"/>
      <c r="Z685" s="34"/>
      <c r="AA685" s="18"/>
    </row>
    <row r="686" ht="21.0" customHeight="1">
      <c r="A686" s="18"/>
      <c r="B686" s="33"/>
      <c r="C686" s="34"/>
      <c r="D686" s="33"/>
      <c r="E686" s="18"/>
      <c r="F686" s="16"/>
      <c r="G686" s="16"/>
      <c r="H686" s="16"/>
      <c r="I686" s="16"/>
      <c r="J686" s="16"/>
      <c r="K686" s="16"/>
      <c r="L686" s="37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38"/>
      <c r="Z686" s="34"/>
      <c r="AA686" s="18"/>
    </row>
    <row r="687" ht="21.0" customHeight="1">
      <c r="A687" s="18"/>
      <c r="B687" s="33"/>
      <c r="C687" s="34"/>
      <c r="D687" s="33"/>
      <c r="E687" s="18"/>
      <c r="F687" s="16"/>
      <c r="G687" s="16"/>
      <c r="H687" s="16"/>
      <c r="I687" s="16"/>
      <c r="J687" s="16"/>
      <c r="K687" s="16"/>
      <c r="L687" s="37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38"/>
      <c r="Z687" s="34"/>
      <c r="AA687" s="18"/>
    </row>
    <row r="688" ht="21.0" customHeight="1">
      <c r="A688" s="18"/>
      <c r="B688" s="33"/>
      <c r="C688" s="34"/>
      <c r="D688" s="33"/>
      <c r="E688" s="18"/>
      <c r="F688" s="16"/>
      <c r="G688" s="16"/>
      <c r="H688" s="16"/>
      <c r="I688" s="16"/>
      <c r="J688" s="16"/>
      <c r="K688" s="16"/>
      <c r="L688" s="37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38"/>
      <c r="Z688" s="34"/>
      <c r="AA688" s="18"/>
    </row>
    <row r="689" ht="21.0" customHeight="1">
      <c r="A689" s="18"/>
      <c r="B689" s="33"/>
      <c r="C689" s="34"/>
      <c r="D689" s="33"/>
      <c r="E689" s="18"/>
      <c r="F689" s="16"/>
      <c r="G689" s="16"/>
      <c r="H689" s="16"/>
      <c r="I689" s="16"/>
      <c r="J689" s="16"/>
      <c r="K689" s="16"/>
      <c r="L689" s="37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38"/>
      <c r="Z689" s="34"/>
      <c r="AA689" s="18"/>
    </row>
    <row r="690" ht="21.0" customHeight="1">
      <c r="A690" s="18"/>
      <c r="B690" s="33"/>
      <c r="C690" s="34"/>
      <c r="D690" s="33"/>
      <c r="E690" s="18"/>
      <c r="F690" s="16"/>
      <c r="G690" s="16"/>
      <c r="H690" s="16"/>
      <c r="I690" s="16"/>
      <c r="J690" s="16"/>
      <c r="K690" s="16"/>
      <c r="L690" s="37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38"/>
      <c r="Z690" s="34"/>
      <c r="AA690" s="18"/>
    </row>
    <row r="691" ht="21.0" customHeight="1">
      <c r="A691" s="18"/>
      <c r="B691" s="33"/>
      <c r="C691" s="34"/>
      <c r="D691" s="33"/>
      <c r="E691" s="18"/>
      <c r="F691" s="16"/>
      <c r="G691" s="16"/>
      <c r="H691" s="16"/>
      <c r="I691" s="16"/>
      <c r="J691" s="16"/>
      <c r="K691" s="16"/>
      <c r="L691" s="37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38"/>
      <c r="Z691" s="34"/>
      <c r="AA691" s="18"/>
    </row>
    <row r="692" ht="21.0" customHeight="1">
      <c r="A692" s="18"/>
      <c r="B692" s="33"/>
      <c r="C692" s="34"/>
      <c r="D692" s="33"/>
      <c r="E692" s="18"/>
      <c r="F692" s="16"/>
      <c r="G692" s="16"/>
      <c r="H692" s="16"/>
      <c r="I692" s="16"/>
      <c r="J692" s="16"/>
      <c r="K692" s="16"/>
      <c r="L692" s="37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38"/>
      <c r="Z692" s="34"/>
      <c r="AA692" s="18"/>
    </row>
    <row r="693" ht="21.0" customHeight="1">
      <c r="A693" s="18"/>
      <c r="B693" s="33"/>
      <c r="C693" s="34"/>
      <c r="D693" s="33"/>
      <c r="E693" s="18"/>
      <c r="F693" s="16"/>
      <c r="G693" s="16"/>
      <c r="H693" s="16"/>
      <c r="I693" s="16"/>
      <c r="J693" s="16"/>
      <c r="K693" s="16"/>
      <c r="L693" s="37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38"/>
      <c r="Z693" s="34"/>
      <c r="AA693" s="18"/>
    </row>
    <row r="694" ht="21.0" customHeight="1">
      <c r="A694" s="18"/>
      <c r="B694" s="33"/>
      <c r="C694" s="34"/>
      <c r="D694" s="33"/>
      <c r="E694" s="18"/>
      <c r="F694" s="16"/>
      <c r="G694" s="16"/>
      <c r="H694" s="16"/>
      <c r="I694" s="16"/>
      <c r="J694" s="16"/>
      <c r="K694" s="16"/>
      <c r="L694" s="37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38"/>
      <c r="Z694" s="34"/>
      <c r="AA694" s="18"/>
    </row>
    <row r="695" ht="21.0" customHeight="1">
      <c r="A695" s="18"/>
      <c r="B695" s="33"/>
      <c r="C695" s="34"/>
      <c r="D695" s="33"/>
      <c r="E695" s="18"/>
      <c r="F695" s="16"/>
      <c r="G695" s="16"/>
      <c r="H695" s="16"/>
      <c r="I695" s="16"/>
      <c r="J695" s="16"/>
      <c r="K695" s="16"/>
      <c r="L695" s="37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38"/>
      <c r="Z695" s="34"/>
      <c r="AA695" s="18"/>
    </row>
    <row r="696" ht="21.0" customHeight="1">
      <c r="A696" s="18"/>
      <c r="B696" s="33"/>
      <c r="C696" s="34"/>
      <c r="D696" s="33"/>
      <c r="E696" s="18"/>
      <c r="F696" s="16"/>
      <c r="G696" s="16"/>
      <c r="H696" s="16"/>
      <c r="I696" s="16"/>
      <c r="J696" s="16"/>
      <c r="K696" s="16"/>
      <c r="L696" s="37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38"/>
      <c r="Z696" s="34"/>
      <c r="AA696" s="18"/>
    </row>
    <row r="697" ht="21.0" customHeight="1">
      <c r="A697" s="18"/>
      <c r="B697" s="33"/>
      <c r="C697" s="34"/>
      <c r="D697" s="33"/>
      <c r="E697" s="18"/>
      <c r="F697" s="16"/>
      <c r="G697" s="16"/>
      <c r="H697" s="16"/>
      <c r="I697" s="16"/>
      <c r="J697" s="16"/>
      <c r="K697" s="16"/>
      <c r="L697" s="37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38"/>
      <c r="Z697" s="34"/>
      <c r="AA697" s="18"/>
    </row>
    <row r="698" ht="21.0" customHeight="1">
      <c r="A698" s="18"/>
      <c r="B698" s="33"/>
      <c r="C698" s="34"/>
      <c r="D698" s="33"/>
      <c r="E698" s="18"/>
      <c r="F698" s="16"/>
      <c r="G698" s="16"/>
      <c r="H698" s="16"/>
      <c r="I698" s="16"/>
      <c r="J698" s="16"/>
      <c r="K698" s="16"/>
      <c r="L698" s="37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38"/>
      <c r="Z698" s="34"/>
      <c r="AA698" s="18"/>
    </row>
    <row r="699" ht="21.0" customHeight="1">
      <c r="A699" s="18"/>
      <c r="B699" s="33"/>
      <c r="C699" s="34"/>
      <c r="D699" s="33"/>
      <c r="E699" s="18"/>
      <c r="F699" s="16"/>
      <c r="G699" s="16"/>
      <c r="H699" s="16"/>
      <c r="I699" s="16"/>
      <c r="J699" s="16"/>
      <c r="K699" s="16"/>
      <c r="L699" s="37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38"/>
      <c r="Z699" s="34"/>
      <c r="AA699" s="18"/>
    </row>
    <row r="700" ht="21.0" customHeight="1">
      <c r="A700" s="18"/>
      <c r="B700" s="33"/>
      <c r="C700" s="34"/>
      <c r="D700" s="33"/>
      <c r="E700" s="18"/>
      <c r="F700" s="16"/>
      <c r="G700" s="16"/>
      <c r="H700" s="16"/>
      <c r="I700" s="16"/>
      <c r="J700" s="16"/>
      <c r="K700" s="16"/>
      <c r="L700" s="37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38"/>
      <c r="Z700" s="34"/>
      <c r="AA700" s="18"/>
    </row>
    <row r="701" ht="21.0" customHeight="1">
      <c r="A701" s="18"/>
      <c r="B701" s="33"/>
      <c r="C701" s="34"/>
      <c r="D701" s="33"/>
      <c r="E701" s="18"/>
      <c r="F701" s="16"/>
      <c r="G701" s="16"/>
      <c r="H701" s="16"/>
      <c r="I701" s="16"/>
      <c r="J701" s="16"/>
      <c r="K701" s="16"/>
      <c r="L701" s="37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38"/>
      <c r="Z701" s="34"/>
      <c r="AA701" s="18"/>
    </row>
    <row r="702" ht="21.0" customHeight="1">
      <c r="A702" s="18"/>
      <c r="B702" s="33"/>
      <c r="C702" s="34"/>
      <c r="D702" s="33"/>
      <c r="E702" s="18"/>
      <c r="F702" s="16"/>
      <c r="G702" s="16"/>
      <c r="H702" s="16"/>
      <c r="I702" s="16"/>
      <c r="J702" s="16"/>
      <c r="K702" s="16"/>
      <c r="L702" s="37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38"/>
      <c r="Z702" s="34"/>
      <c r="AA702" s="18"/>
    </row>
    <row r="703" ht="21.0" customHeight="1">
      <c r="A703" s="18"/>
      <c r="B703" s="33"/>
      <c r="C703" s="34"/>
      <c r="D703" s="33"/>
      <c r="E703" s="18"/>
      <c r="F703" s="16"/>
      <c r="G703" s="16"/>
      <c r="H703" s="16"/>
      <c r="I703" s="16"/>
      <c r="J703" s="16"/>
      <c r="K703" s="16"/>
      <c r="L703" s="37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38"/>
      <c r="Z703" s="34"/>
      <c r="AA703" s="18"/>
    </row>
    <row r="704" ht="21.0" customHeight="1">
      <c r="A704" s="18"/>
      <c r="B704" s="33"/>
      <c r="C704" s="34"/>
      <c r="D704" s="33"/>
      <c r="E704" s="18"/>
      <c r="F704" s="16"/>
      <c r="G704" s="16"/>
      <c r="H704" s="16"/>
      <c r="I704" s="16"/>
      <c r="J704" s="16"/>
      <c r="K704" s="16"/>
      <c r="L704" s="37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38"/>
      <c r="Z704" s="34"/>
      <c r="AA704" s="18"/>
    </row>
    <row r="705" ht="21.0" customHeight="1">
      <c r="A705" s="18"/>
      <c r="B705" s="33"/>
      <c r="C705" s="34"/>
      <c r="D705" s="33"/>
      <c r="E705" s="18"/>
      <c r="F705" s="16"/>
      <c r="G705" s="16"/>
      <c r="H705" s="16"/>
      <c r="I705" s="16"/>
      <c r="J705" s="16"/>
      <c r="K705" s="16"/>
      <c r="L705" s="37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38"/>
      <c r="Z705" s="34"/>
      <c r="AA705" s="18"/>
    </row>
    <row r="706" ht="21.0" customHeight="1">
      <c r="A706" s="18"/>
      <c r="B706" s="33"/>
      <c r="C706" s="34"/>
      <c r="D706" s="33"/>
      <c r="E706" s="18"/>
      <c r="F706" s="16"/>
      <c r="G706" s="16"/>
      <c r="H706" s="16"/>
      <c r="I706" s="16"/>
      <c r="J706" s="16"/>
      <c r="K706" s="16"/>
      <c r="L706" s="37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38"/>
      <c r="Z706" s="34"/>
      <c r="AA706" s="18"/>
    </row>
    <row r="707" ht="21.0" customHeight="1">
      <c r="A707" s="18"/>
      <c r="B707" s="33"/>
      <c r="C707" s="34"/>
      <c r="D707" s="33"/>
      <c r="E707" s="18"/>
      <c r="F707" s="16"/>
      <c r="G707" s="16"/>
      <c r="H707" s="16"/>
      <c r="I707" s="16"/>
      <c r="J707" s="16"/>
      <c r="K707" s="16"/>
      <c r="L707" s="37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38"/>
      <c r="Z707" s="34"/>
      <c r="AA707" s="18"/>
    </row>
    <row r="708" ht="21.0" customHeight="1">
      <c r="A708" s="18"/>
      <c r="B708" s="33"/>
      <c r="C708" s="34"/>
      <c r="D708" s="33"/>
      <c r="E708" s="18"/>
      <c r="F708" s="16"/>
      <c r="G708" s="16"/>
      <c r="H708" s="16"/>
      <c r="I708" s="16"/>
      <c r="J708" s="16"/>
      <c r="K708" s="16"/>
      <c r="L708" s="37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38"/>
      <c r="Z708" s="34"/>
      <c r="AA708" s="18"/>
    </row>
    <row r="709" ht="21.0" customHeight="1">
      <c r="A709" s="18"/>
      <c r="B709" s="33"/>
      <c r="C709" s="34"/>
      <c r="D709" s="33"/>
      <c r="E709" s="18"/>
      <c r="F709" s="16"/>
      <c r="G709" s="16"/>
      <c r="H709" s="16"/>
      <c r="I709" s="16"/>
      <c r="J709" s="16"/>
      <c r="K709" s="16"/>
      <c r="L709" s="37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38"/>
      <c r="Z709" s="34"/>
      <c r="AA709" s="18"/>
    </row>
    <row r="710" ht="21.0" customHeight="1">
      <c r="A710" s="18"/>
      <c r="B710" s="33"/>
      <c r="C710" s="34"/>
      <c r="D710" s="33"/>
      <c r="E710" s="18"/>
      <c r="F710" s="16"/>
      <c r="G710" s="16"/>
      <c r="H710" s="16"/>
      <c r="I710" s="16"/>
      <c r="J710" s="16"/>
      <c r="K710" s="16"/>
      <c r="L710" s="37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38"/>
      <c r="Z710" s="34"/>
      <c r="AA710" s="18"/>
    </row>
    <row r="711" ht="21.0" customHeight="1">
      <c r="A711" s="18"/>
      <c r="B711" s="33"/>
      <c r="C711" s="34"/>
      <c r="D711" s="33"/>
      <c r="E711" s="18"/>
      <c r="F711" s="16"/>
      <c r="G711" s="16"/>
      <c r="H711" s="16"/>
      <c r="I711" s="16"/>
      <c r="J711" s="16"/>
      <c r="K711" s="16"/>
      <c r="L711" s="37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38"/>
      <c r="Z711" s="34"/>
      <c r="AA711" s="18"/>
    </row>
    <row r="712" ht="21.0" customHeight="1">
      <c r="A712" s="18"/>
      <c r="B712" s="33"/>
      <c r="C712" s="34"/>
      <c r="D712" s="33"/>
      <c r="E712" s="18"/>
      <c r="F712" s="16"/>
      <c r="G712" s="16"/>
      <c r="H712" s="16"/>
      <c r="I712" s="16"/>
      <c r="J712" s="16"/>
      <c r="K712" s="16"/>
      <c r="L712" s="37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38"/>
      <c r="Z712" s="34"/>
      <c r="AA712" s="18"/>
    </row>
    <row r="713" ht="21.0" customHeight="1">
      <c r="A713" s="18"/>
      <c r="B713" s="33"/>
      <c r="C713" s="34"/>
      <c r="D713" s="33"/>
      <c r="E713" s="18"/>
      <c r="F713" s="16"/>
      <c r="G713" s="16"/>
      <c r="H713" s="16"/>
      <c r="I713" s="16"/>
      <c r="J713" s="16"/>
      <c r="K713" s="16"/>
      <c r="L713" s="37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38"/>
      <c r="Z713" s="34"/>
      <c r="AA713" s="18"/>
    </row>
    <row r="714" ht="21.0" customHeight="1">
      <c r="A714" s="18"/>
      <c r="B714" s="33"/>
      <c r="C714" s="34"/>
      <c r="D714" s="33"/>
      <c r="E714" s="18"/>
      <c r="F714" s="16"/>
      <c r="G714" s="16"/>
      <c r="H714" s="16"/>
      <c r="I714" s="16"/>
      <c r="J714" s="16"/>
      <c r="K714" s="16"/>
      <c r="L714" s="37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38"/>
      <c r="Z714" s="34"/>
      <c r="AA714" s="18"/>
    </row>
    <row r="715" ht="21.0" customHeight="1">
      <c r="A715" s="18"/>
      <c r="B715" s="33"/>
      <c r="C715" s="34"/>
      <c r="D715" s="33"/>
      <c r="E715" s="18"/>
      <c r="F715" s="16"/>
      <c r="G715" s="16"/>
      <c r="H715" s="16"/>
      <c r="I715" s="16"/>
      <c r="J715" s="16"/>
      <c r="K715" s="16"/>
      <c r="L715" s="37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38"/>
      <c r="Z715" s="34"/>
      <c r="AA715" s="18"/>
    </row>
    <row r="716" ht="21.0" customHeight="1">
      <c r="A716" s="18"/>
      <c r="B716" s="33"/>
      <c r="C716" s="34"/>
      <c r="D716" s="33"/>
      <c r="E716" s="18"/>
      <c r="F716" s="16"/>
      <c r="G716" s="16"/>
      <c r="H716" s="16"/>
      <c r="I716" s="16"/>
      <c r="J716" s="16"/>
      <c r="K716" s="16"/>
      <c r="L716" s="37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38"/>
      <c r="Z716" s="34"/>
      <c r="AA716" s="18"/>
    </row>
    <row r="717" ht="21.0" customHeight="1">
      <c r="A717" s="18"/>
      <c r="B717" s="33"/>
      <c r="C717" s="34"/>
      <c r="D717" s="33"/>
      <c r="E717" s="18"/>
      <c r="F717" s="16"/>
      <c r="G717" s="16"/>
      <c r="H717" s="16"/>
      <c r="I717" s="16"/>
      <c r="J717" s="16"/>
      <c r="K717" s="16"/>
      <c r="L717" s="37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38"/>
      <c r="Z717" s="34"/>
      <c r="AA717" s="18"/>
    </row>
    <row r="718" ht="21.0" customHeight="1">
      <c r="A718" s="18"/>
      <c r="B718" s="33"/>
      <c r="C718" s="34"/>
      <c r="D718" s="33"/>
      <c r="E718" s="18"/>
      <c r="F718" s="16"/>
      <c r="G718" s="16"/>
      <c r="H718" s="16"/>
      <c r="I718" s="16"/>
      <c r="J718" s="16"/>
      <c r="K718" s="16"/>
      <c r="L718" s="37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38"/>
      <c r="Z718" s="34"/>
      <c r="AA718" s="18"/>
    </row>
    <row r="719" ht="21.0" customHeight="1">
      <c r="A719" s="18"/>
      <c r="B719" s="33"/>
      <c r="C719" s="34"/>
      <c r="D719" s="33"/>
      <c r="E719" s="18"/>
      <c r="F719" s="16"/>
      <c r="G719" s="16"/>
      <c r="H719" s="16"/>
      <c r="I719" s="16"/>
      <c r="J719" s="16"/>
      <c r="K719" s="16"/>
      <c r="L719" s="37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38"/>
      <c r="Z719" s="34"/>
      <c r="AA719" s="18"/>
    </row>
    <row r="720" ht="21.0" customHeight="1">
      <c r="A720" s="18"/>
      <c r="B720" s="33"/>
      <c r="C720" s="34"/>
      <c r="D720" s="33"/>
      <c r="E720" s="18"/>
      <c r="F720" s="16"/>
      <c r="G720" s="16"/>
      <c r="H720" s="16"/>
      <c r="I720" s="16"/>
      <c r="J720" s="16"/>
      <c r="K720" s="16"/>
      <c r="L720" s="37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38"/>
      <c r="Z720" s="34"/>
      <c r="AA720" s="18"/>
    </row>
    <row r="721" ht="21.0" customHeight="1">
      <c r="A721" s="18"/>
      <c r="B721" s="33"/>
      <c r="C721" s="34"/>
      <c r="D721" s="33"/>
      <c r="E721" s="18"/>
      <c r="F721" s="16"/>
      <c r="G721" s="16"/>
      <c r="H721" s="16"/>
      <c r="I721" s="16"/>
      <c r="J721" s="16"/>
      <c r="K721" s="16"/>
      <c r="L721" s="37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38"/>
      <c r="Z721" s="34"/>
      <c r="AA721" s="18"/>
    </row>
    <row r="722" ht="21.0" customHeight="1">
      <c r="A722" s="18"/>
      <c r="B722" s="33"/>
      <c r="C722" s="34"/>
      <c r="D722" s="33"/>
      <c r="E722" s="18"/>
      <c r="F722" s="16"/>
      <c r="G722" s="16"/>
      <c r="H722" s="16"/>
      <c r="I722" s="16"/>
      <c r="J722" s="16"/>
      <c r="K722" s="16"/>
      <c r="L722" s="37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38"/>
      <c r="Z722" s="34"/>
      <c r="AA722" s="18"/>
    </row>
    <row r="723" ht="21.0" customHeight="1">
      <c r="A723" s="18"/>
      <c r="B723" s="33"/>
      <c r="C723" s="34"/>
      <c r="D723" s="33"/>
      <c r="E723" s="18"/>
      <c r="F723" s="16"/>
      <c r="G723" s="16"/>
      <c r="H723" s="16"/>
      <c r="I723" s="16"/>
      <c r="J723" s="16"/>
      <c r="K723" s="16"/>
      <c r="L723" s="37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38"/>
      <c r="Z723" s="34"/>
      <c r="AA723" s="18"/>
    </row>
    <row r="724" ht="21.0" customHeight="1">
      <c r="A724" s="18"/>
      <c r="B724" s="33"/>
      <c r="C724" s="34"/>
      <c r="D724" s="33"/>
      <c r="E724" s="18"/>
      <c r="F724" s="16"/>
      <c r="G724" s="16"/>
      <c r="H724" s="16"/>
      <c r="I724" s="16"/>
      <c r="J724" s="16"/>
      <c r="K724" s="16"/>
      <c r="L724" s="37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38"/>
      <c r="Z724" s="34"/>
      <c r="AA724" s="18"/>
    </row>
    <row r="725" ht="21.0" customHeight="1">
      <c r="A725" s="18"/>
      <c r="B725" s="33"/>
      <c r="C725" s="34"/>
      <c r="D725" s="33"/>
      <c r="E725" s="18"/>
      <c r="F725" s="16"/>
      <c r="G725" s="16"/>
      <c r="H725" s="16"/>
      <c r="I725" s="16"/>
      <c r="J725" s="16"/>
      <c r="K725" s="16"/>
      <c r="L725" s="37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38"/>
      <c r="Z725" s="34"/>
      <c r="AA725" s="18"/>
    </row>
    <row r="726" ht="21.0" customHeight="1">
      <c r="A726" s="18"/>
      <c r="B726" s="33"/>
      <c r="C726" s="34"/>
      <c r="D726" s="33"/>
      <c r="E726" s="18"/>
      <c r="F726" s="16"/>
      <c r="G726" s="16"/>
      <c r="H726" s="16"/>
      <c r="I726" s="16"/>
      <c r="J726" s="16"/>
      <c r="K726" s="16"/>
      <c r="L726" s="37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38"/>
      <c r="Z726" s="34"/>
      <c r="AA726" s="18"/>
    </row>
    <row r="727" ht="21.0" customHeight="1">
      <c r="A727" s="18"/>
      <c r="B727" s="33"/>
      <c r="C727" s="34"/>
      <c r="D727" s="33"/>
      <c r="E727" s="18"/>
      <c r="F727" s="16"/>
      <c r="G727" s="16"/>
      <c r="H727" s="16"/>
      <c r="I727" s="16"/>
      <c r="J727" s="16"/>
      <c r="K727" s="16"/>
      <c r="L727" s="37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38"/>
      <c r="Z727" s="34"/>
      <c r="AA727" s="18"/>
    </row>
    <row r="728" ht="21.0" customHeight="1">
      <c r="A728" s="18"/>
      <c r="B728" s="33"/>
      <c r="C728" s="34"/>
      <c r="D728" s="33"/>
      <c r="E728" s="18"/>
      <c r="F728" s="16"/>
      <c r="G728" s="16"/>
      <c r="H728" s="16"/>
      <c r="I728" s="16"/>
      <c r="J728" s="16"/>
      <c r="K728" s="16"/>
      <c r="L728" s="37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38"/>
      <c r="Z728" s="34"/>
      <c r="AA728" s="18"/>
    </row>
    <row r="729" ht="21.0" customHeight="1">
      <c r="A729" s="18"/>
      <c r="B729" s="33"/>
      <c r="C729" s="34"/>
      <c r="D729" s="33"/>
      <c r="E729" s="18"/>
      <c r="F729" s="16"/>
      <c r="G729" s="16"/>
      <c r="H729" s="16"/>
      <c r="I729" s="16"/>
      <c r="J729" s="16"/>
      <c r="K729" s="16"/>
      <c r="L729" s="37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38"/>
      <c r="Z729" s="34"/>
      <c r="AA729" s="18"/>
    </row>
    <row r="730" ht="21.0" customHeight="1">
      <c r="A730" s="18"/>
      <c r="B730" s="33"/>
      <c r="C730" s="34"/>
      <c r="D730" s="33"/>
      <c r="E730" s="18"/>
      <c r="F730" s="16"/>
      <c r="G730" s="16"/>
      <c r="H730" s="16"/>
      <c r="I730" s="16"/>
      <c r="J730" s="16"/>
      <c r="K730" s="16"/>
      <c r="L730" s="37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38"/>
      <c r="Z730" s="34"/>
      <c r="AA730" s="18"/>
    </row>
    <row r="731" ht="21.0" customHeight="1">
      <c r="A731" s="18"/>
      <c r="B731" s="33"/>
      <c r="C731" s="34"/>
      <c r="D731" s="33"/>
      <c r="E731" s="18"/>
      <c r="F731" s="16"/>
      <c r="G731" s="16"/>
      <c r="H731" s="16"/>
      <c r="I731" s="16"/>
      <c r="J731" s="16"/>
      <c r="K731" s="16"/>
      <c r="L731" s="37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38"/>
      <c r="Z731" s="34"/>
      <c r="AA731" s="18"/>
    </row>
    <row r="732" ht="21.0" customHeight="1">
      <c r="A732" s="18"/>
      <c r="B732" s="33"/>
      <c r="C732" s="34"/>
      <c r="D732" s="33"/>
      <c r="E732" s="18"/>
      <c r="F732" s="16"/>
      <c r="G732" s="16"/>
      <c r="H732" s="16"/>
      <c r="I732" s="16"/>
      <c r="J732" s="16"/>
      <c r="K732" s="16"/>
      <c r="L732" s="37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38"/>
      <c r="Z732" s="34"/>
      <c r="AA732" s="18"/>
    </row>
    <row r="733" ht="21.0" customHeight="1">
      <c r="A733" s="18"/>
      <c r="B733" s="33"/>
      <c r="C733" s="34"/>
      <c r="D733" s="33"/>
      <c r="E733" s="18"/>
      <c r="F733" s="16"/>
      <c r="G733" s="16"/>
      <c r="H733" s="16"/>
      <c r="I733" s="16"/>
      <c r="J733" s="16"/>
      <c r="K733" s="16"/>
      <c r="L733" s="37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38"/>
      <c r="Z733" s="34"/>
      <c r="AA733" s="18"/>
    </row>
    <row r="734" ht="21.0" customHeight="1">
      <c r="A734" s="18"/>
      <c r="B734" s="33"/>
      <c r="C734" s="34"/>
      <c r="D734" s="33"/>
      <c r="E734" s="18"/>
      <c r="F734" s="16"/>
      <c r="G734" s="16"/>
      <c r="H734" s="16"/>
      <c r="I734" s="16"/>
      <c r="J734" s="16"/>
      <c r="K734" s="16"/>
      <c r="L734" s="37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38"/>
      <c r="Z734" s="34"/>
      <c r="AA734" s="18"/>
    </row>
    <row r="735" ht="21.0" customHeight="1">
      <c r="A735" s="18"/>
      <c r="B735" s="33"/>
      <c r="C735" s="34"/>
      <c r="D735" s="33"/>
      <c r="E735" s="18"/>
      <c r="F735" s="16"/>
      <c r="G735" s="16"/>
      <c r="H735" s="16"/>
      <c r="I735" s="16"/>
      <c r="J735" s="16"/>
      <c r="K735" s="16"/>
      <c r="L735" s="37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38"/>
      <c r="Z735" s="34"/>
      <c r="AA735" s="18"/>
    </row>
    <row r="736" ht="21.0" customHeight="1">
      <c r="A736" s="18"/>
      <c r="B736" s="33"/>
      <c r="C736" s="34"/>
      <c r="D736" s="33"/>
      <c r="E736" s="18"/>
      <c r="F736" s="16"/>
      <c r="G736" s="16"/>
      <c r="H736" s="16"/>
      <c r="I736" s="16"/>
      <c r="J736" s="16"/>
      <c r="K736" s="16"/>
      <c r="L736" s="37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38"/>
      <c r="Z736" s="34"/>
      <c r="AA736" s="18"/>
    </row>
    <row r="737" ht="21.0" customHeight="1">
      <c r="A737" s="18"/>
      <c r="B737" s="33"/>
      <c r="C737" s="34"/>
      <c r="D737" s="33"/>
      <c r="E737" s="18"/>
      <c r="F737" s="16"/>
      <c r="G737" s="16"/>
      <c r="H737" s="16"/>
      <c r="I737" s="16"/>
      <c r="J737" s="16"/>
      <c r="K737" s="16"/>
      <c r="L737" s="37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38"/>
      <c r="Z737" s="34"/>
      <c r="AA737" s="18"/>
    </row>
    <row r="738" ht="21.0" customHeight="1">
      <c r="A738" s="18"/>
      <c r="B738" s="33"/>
      <c r="C738" s="34"/>
      <c r="D738" s="33"/>
      <c r="E738" s="18"/>
      <c r="F738" s="16"/>
      <c r="G738" s="16"/>
      <c r="H738" s="16"/>
      <c r="I738" s="16"/>
      <c r="J738" s="16"/>
      <c r="K738" s="16"/>
      <c r="L738" s="37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38"/>
      <c r="Z738" s="34"/>
      <c r="AA738" s="18"/>
    </row>
    <row r="739" ht="21.0" customHeight="1">
      <c r="A739" s="18"/>
      <c r="B739" s="33"/>
      <c r="C739" s="34"/>
      <c r="D739" s="33"/>
      <c r="E739" s="18"/>
      <c r="F739" s="16"/>
      <c r="G739" s="16"/>
      <c r="H739" s="16"/>
      <c r="I739" s="16"/>
      <c r="J739" s="16"/>
      <c r="K739" s="16"/>
      <c r="L739" s="37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38"/>
      <c r="Z739" s="34"/>
      <c r="AA739" s="18"/>
    </row>
    <row r="740" ht="21.0" customHeight="1">
      <c r="A740" s="18"/>
      <c r="B740" s="33"/>
      <c r="C740" s="34"/>
      <c r="D740" s="33"/>
      <c r="E740" s="18"/>
      <c r="F740" s="16"/>
      <c r="G740" s="16"/>
      <c r="H740" s="16"/>
      <c r="I740" s="16"/>
      <c r="J740" s="16"/>
      <c r="K740" s="16"/>
      <c r="L740" s="37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38"/>
      <c r="Z740" s="34"/>
      <c r="AA740" s="18"/>
    </row>
    <row r="741" ht="21.0" customHeight="1">
      <c r="A741" s="18"/>
      <c r="B741" s="33"/>
      <c r="C741" s="34"/>
      <c r="D741" s="33"/>
      <c r="E741" s="18"/>
      <c r="F741" s="16"/>
      <c r="G741" s="16"/>
      <c r="H741" s="16"/>
      <c r="I741" s="16"/>
      <c r="J741" s="16"/>
      <c r="K741" s="16"/>
      <c r="L741" s="37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38"/>
      <c r="Z741" s="34"/>
      <c r="AA741" s="18"/>
    </row>
    <row r="742" ht="21.0" customHeight="1">
      <c r="A742" s="18"/>
      <c r="B742" s="33"/>
      <c r="C742" s="34"/>
      <c r="D742" s="33"/>
      <c r="E742" s="18"/>
      <c r="F742" s="16"/>
      <c r="G742" s="16"/>
      <c r="H742" s="16"/>
      <c r="I742" s="16"/>
      <c r="J742" s="16"/>
      <c r="K742" s="16"/>
      <c r="L742" s="37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38"/>
      <c r="Z742" s="34"/>
      <c r="AA742" s="18"/>
    </row>
    <row r="743" ht="21.0" customHeight="1">
      <c r="A743" s="18"/>
      <c r="B743" s="33"/>
      <c r="C743" s="34"/>
      <c r="D743" s="33"/>
      <c r="E743" s="18"/>
      <c r="F743" s="16"/>
      <c r="G743" s="16"/>
      <c r="H743" s="16"/>
      <c r="I743" s="16"/>
      <c r="J743" s="16"/>
      <c r="K743" s="16"/>
      <c r="L743" s="37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38"/>
      <c r="Z743" s="34"/>
      <c r="AA743" s="18"/>
    </row>
    <row r="744" ht="21.0" customHeight="1">
      <c r="A744" s="18"/>
      <c r="B744" s="33"/>
      <c r="C744" s="34"/>
      <c r="D744" s="33"/>
      <c r="E744" s="18"/>
      <c r="F744" s="16"/>
      <c r="G744" s="16"/>
      <c r="H744" s="16"/>
      <c r="I744" s="16"/>
      <c r="J744" s="16"/>
      <c r="K744" s="16"/>
      <c r="L744" s="37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38"/>
      <c r="Z744" s="34"/>
      <c r="AA744" s="18"/>
    </row>
    <row r="745" ht="21.0" customHeight="1">
      <c r="A745" s="18"/>
      <c r="B745" s="33"/>
      <c r="C745" s="34"/>
      <c r="D745" s="33"/>
      <c r="E745" s="18"/>
      <c r="F745" s="16"/>
      <c r="G745" s="16"/>
      <c r="H745" s="16"/>
      <c r="I745" s="16"/>
      <c r="J745" s="16"/>
      <c r="K745" s="16"/>
      <c r="L745" s="37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38"/>
      <c r="Z745" s="34"/>
      <c r="AA745" s="18"/>
    </row>
    <row r="746" ht="21.0" customHeight="1">
      <c r="A746" s="18"/>
      <c r="B746" s="33"/>
      <c r="C746" s="34"/>
      <c r="D746" s="33"/>
      <c r="E746" s="18"/>
      <c r="F746" s="16"/>
      <c r="G746" s="16"/>
      <c r="H746" s="16"/>
      <c r="I746" s="16"/>
      <c r="J746" s="16"/>
      <c r="K746" s="16"/>
      <c r="L746" s="37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38"/>
      <c r="Z746" s="34"/>
      <c r="AA746" s="18"/>
    </row>
    <row r="747" ht="21.0" customHeight="1">
      <c r="A747" s="18"/>
      <c r="B747" s="33"/>
      <c r="C747" s="34"/>
      <c r="D747" s="33"/>
      <c r="E747" s="18"/>
      <c r="F747" s="16"/>
      <c r="G747" s="16"/>
      <c r="H747" s="16"/>
      <c r="I747" s="16"/>
      <c r="J747" s="16"/>
      <c r="K747" s="16"/>
      <c r="L747" s="37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38"/>
      <c r="Z747" s="34"/>
      <c r="AA747" s="18"/>
    </row>
    <row r="748" ht="21.0" customHeight="1">
      <c r="A748" s="18"/>
      <c r="B748" s="33"/>
      <c r="C748" s="34"/>
      <c r="D748" s="33"/>
      <c r="E748" s="18"/>
      <c r="F748" s="16"/>
      <c r="G748" s="16"/>
      <c r="H748" s="16"/>
      <c r="I748" s="16"/>
      <c r="J748" s="16"/>
      <c r="K748" s="16"/>
      <c r="L748" s="37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38"/>
      <c r="Z748" s="34"/>
      <c r="AA748" s="18"/>
    </row>
    <row r="749" ht="21.0" customHeight="1">
      <c r="A749" s="18"/>
      <c r="B749" s="33"/>
      <c r="C749" s="34"/>
      <c r="D749" s="33"/>
      <c r="E749" s="18"/>
      <c r="F749" s="16"/>
      <c r="G749" s="16"/>
      <c r="H749" s="16"/>
      <c r="I749" s="16"/>
      <c r="J749" s="16"/>
      <c r="K749" s="16"/>
      <c r="L749" s="37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38"/>
      <c r="Z749" s="34"/>
      <c r="AA749" s="18"/>
    </row>
    <row r="750" ht="21.0" customHeight="1">
      <c r="A750" s="18"/>
      <c r="B750" s="33"/>
      <c r="C750" s="34"/>
      <c r="D750" s="33"/>
      <c r="E750" s="18"/>
      <c r="F750" s="16"/>
      <c r="G750" s="16"/>
      <c r="H750" s="16"/>
      <c r="I750" s="16"/>
      <c r="J750" s="16"/>
      <c r="K750" s="16"/>
      <c r="L750" s="37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38"/>
      <c r="Z750" s="34"/>
      <c r="AA750" s="18"/>
    </row>
    <row r="751" ht="21.0" customHeight="1">
      <c r="A751" s="18"/>
      <c r="B751" s="33"/>
      <c r="C751" s="34"/>
      <c r="D751" s="33"/>
      <c r="E751" s="18"/>
      <c r="F751" s="16"/>
      <c r="G751" s="16"/>
      <c r="H751" s="16"/>
      <c r="I751" s="16"/>
      <c r="J751" s="16"/>
      <c r="K751" s="16"/>
      <c r="L751" s="37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38"/>
      <c r="Z751" s="34"/>
      <c r="AA751" s="18"/>
    </row>
    <row r="752" ht="21.0" customHeight="1">
      <c r="A752" s="18"/>
      <c r="B752" s="33"/>
      <c r="C752" s="34"/>
      <c r="D752" s="33"/>
      <c r="E752" s="18"/>
      <c r="F752" s="16"/>
      <c r="G752" s="16"/>
      <c r="H752" s="16"/>
      <c r="I752" s="16"/>
      <c r="J752" s="16"/>
      <c r="K752" s="16"/>
      <c r="L752" s="37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38"/>
      <c r="Z752" s="34"/>
      <c r="AA752" s="18"/>
    </row>
    <row r="753" ht="21.0" customHeight="1">
      <c r="A753" s="18"/>
      <c r="B753" s="33"/>
      <c r="C753" s="34"/>
      <c r="D753" s="33"/>
      <c r="E753" s="18"/>
      <c r="F753" s="16"/>
      <c r="G753" s="16"/>
      <c r="H753" s="16"/>
      <c r="I753" s="16"/>
      <c r="J753" s="16"/>
      <c r="K753" s="16"/>
      <c r="L753" s="37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38"/>
      <c r="Z753" s="34"/>
      <c r="AA753" s="18"/>
    </row>
    <row r="754" ht="21.0" customHeight="1">
      <c r="A754" s="18"/>
      <c r="B754" s="33"/>
      <c r="C754" s="34"/>
      <c r="D754" s="33"/>
      <c r="E754" s="18"/>
      <c r="F754" s="16"/>
      <c r="G754" s="16"/>
      <c r="H754" s="16"/>
      <c r="I754" s="16"/>
      <c r="J754" s="16"/>
      <c r="K754" s="16"/>
      <c r="L754" s="37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38"/>
      <c r="Z754" s="34"/>
      <c r="AA754" s="18"/>
    </row>
    <row r="755" ht="21.0" customHeight="1">
      <c r="A755" s="18"/>
      <c r="B755" s="33"/>
      <c r="C755" s="34"/>
      <c r="D755" s="33"/>
      <c r="E755" s="18"/>
      <c r="F755" s="16"/>
      <c r="G755" s="16"/>
      <c r="H755" s="16"/>
      <c r="I755" s="16"/>
      <c r="J755" s="16"/>
      <c r="K755" s="16"/>
      <c r="L755" s="37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38"/>
      <c r="Z755" s="34"/>
      <c r="AA755" s="18"/>
    </row>
    <row r="756" ht="21.0" customHeight="1">
      <c r="A756" s="18"/>
      <c r="B756" s="33"/>
      <c r="C756" s="34"/>
      <c r="D756" s="33"/>
      <c r="E756" s="18"/>
      <c r="F756" s="16"/>
      <c r="G756" s="16"/>
      <c r="H756" s="16"/>
      <c r="I756" s="16"/>
      <c r="J756" s="16"/>
      <c r="K756" s="16"/>
      <c r="L756" s="37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38"/>
      <c r="Z756" s="34"/>
      <c r="AA756" s="18"/>
    </row>
    <row r="757" ht="21.0" customHeight="1">
      <c r="A757" s="18"/>
      <c r="B757" s="33"/>
      <c r="C757" s="34"/>
      <c r="D757" s="33"/>
      <c r="E757" s="18"/>
      <c r="F757" s="16"/>
      <c r="G757" s="16"/>
      <c r="H757" s="16"/>
      <c r="I757" s="16"/>
      <c r="J757" s="16"/>
      <c r="K757" s="16"/>
      <c r="L757" s="37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38"/>
      <c r="Z757" s="34"/>
      <c r="AA757" s="18"/>
    </row>
    <row r="758" ht="21.0" customHeight="1">
      <c r="A758" s="18"/>
      <c r="B758" s="33"/>
      <c r="C758" s="34"/>
      <c r="D758" s="33"/>
      <c r="E758" s="18"/>
      <c r="F758" s="16"/>
      <c r="G758" s="16"/>
      <c r="H758" s="16"/>
      <c r="I758" s="16"/>
      <c r="J758" s="16"/>
      <c r="K758" s="16"/>
      <c r="L758" s="37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38"/>
      <c r="Z758" s="34"/>
      <c r="AA758" s="18"/>
    </row>
    <row r="759" ht="21.0" customHeight="1">
      <c r="A759" s="18"/>
      <c r="B759" s="33"/>
      <c r="C759" s="34"/>
      <c r="D759" s="33"/>
      <c r="E759" s="18"/>
      <c r="F759" s="16"/>
      <c r="G759" s="16"/>
      <c r="H759" s="16"/>
      <c r="I759" s="16"/>
      <c r="J759" s="16"/>
      <c r="K759" s="16"/>
      <c r="L759" s="37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38"/>
      <c r="Z759" s="34"/>
      <c r="AA759" s="18"/>
    </row>
    <row r="760" ht="21.0" customHeight="1">
      <c r="A760" s="18"/>
      <c r="B760" s="33"/>
      <c r="C760" s="34"/>
      <c r="D760" s="33"/>
      <c r="E760" s="18"/>
      <c r="F760" s="16"/>
      <c r="G760" s="16"/>
      <c r="H760" s="16"/>
      <c r="I760" s="16"/>
      <c r="J760" s="16"/>
      <c r="K760" s="16"/>
      <c r="L760" s="37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38"/>
      <c r="Z760" s="34"/>
      <c r="AA760" s="18"/>
    </row>
    <row r="761" ht="21.0" customHeight="1">
      <c r="A761" s="18"/>
      <c r="B761" s="33"/>
      <c r="C761" s="34"/>
      <c r="D761" s="33"/>
      <c r="E761" s="18"/>
      <c r="F761" s="16"/>
      <c r="G761" s="16"/>
      <c r="H761" s="16"/>
      <c r="I761" s="16"/>
      <c r="J761" s="16"/>
      <c r="K761" s="16"/>
      <c r="L761" s="37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38"/>
      <c r="Z761" s="34"/>
      <c r="AA761" s="18"/>
    </row>
    <row r="762" ht="21.0" customHeight="1">
      <c r="A762" s="18"/>
      <c r="B762" s="33"/>
      <c r="C762" s="34"/>
      <c r="D762" s="33"/>
      <c r="E762" s="18"/>
      <c r="F762" s="16"/>
      <c r="G762" s="16"/>
      <c r="H762" s="16"/>
      <c r="I762" s="16"/>
      <c r="J762" s="16"/>
      <c r="K762" s="16"/>
      <c r="L762" s="37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38"/>
      <c r="Z762" s="34"/>
      <c r="AA762" s="18"/>
    </row>
    <row r="763" ht="21.0" customHeight="1">
      <c r="A763" s="18"/>
      <c r="B763" s="33"/>
      <c r="C763" s="34"/>
      <c r="D763" s="33"/>
      <c r="E763" s="18"/>
      <c r="F763" s="16"/>
      <c r="G763" s="16"/>
      <c r="H763" s="16"/>
      <c r="I763" s="16"/>
      <c r="J763" s="16"/>
      <c r="K763" s="16"/>
      <c r="L763" s="37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38"/>
      <c r="Z763" s="34"/>
      <c r="AA763" s="18"/>
    </row>
    <row r="764" ht="21.0" customHeight="1">
      <c r="A764" s="18"/>
      <c r="B764" s="33"/>
      <c r="C764" s="34"/>
      <c r="D764" s="33"/>
      <c r="E764" s="18"/>
      <c r="F764" s="16"/>
      <c r="G764" s="16"/>
      <c r="H764" s="16"/>
      <c r="I764" s="16"/>
      <c r="J764" s="16"/>
      <c r="K764" s="16"/>
      <c r="L764" s="37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38"/>
      <c r="Z764" s="34"/>
      <c r="AA764" s="18"/>
    </row>
    <row r="765" ht="21.0" customHeight="1">
      <c r="A765" s="18"/>
      <c r="B765" s="33"/>
      <c r="C765" s="34"/>
      <c r="D765" s="33"/>
      <c r="E765" s="18"/>
      <c r="F765" s="16"/>
      <c r="G765" s="16"/>
      <c r="H765" s="16"/>
      <c r="I765" s="16"/>
      <c r="J765" s="16"/>
      <c r="K765" s="16"/>
      <c r="L765" s="37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38"/>
      <c r="Z765" s="34"/>
      <c r="AA765" s="18"/>
    </row>
    <row r="766" ht="21.0" customHeight="1">
      <c r="A766" s="18"/>
      <c r="B766" s="33"/>
      <c r="C766" s="34"/>
      <c r="D766" s="33"/>
      <c r="E766" s="18"/>
      <c r="F766" s="16"/>
      <c r="G766" s="16"/>
      <c r="H766" s="16"/>
      <c r="I766" s="16"/>
      <c r="J766" s="16"/>
      <c r="K766" s="16"/>
      <c r="L766" s="37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38"/>
      <c r="Z766" s="34"/>
      <c r="AA766" s="18"/>
    </row>
    <row r="767" ht="21.0" customHeight="1">
      <c r="A767" s="18"/>
      <c r="B767" s="33"/>
      <c r="C767" s="34"/>
      <c r="D767" s="33"/>
      <c r="E767" s="18"/>
      <c r="F767" s="16"/>
      <c r="G767" s="16"/>
      <c r="H767" s="16"/>
      <c r="I767" s="16"/>
      <c r="J767" s="16"/>
      <c r="K767" s="16"/>
      <c r="L767" s="37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38"/>
      <c r="Z767" s="34"/>
      <c r="AA767" s="18"/>
    </row>
    <row r="768" ht="21.0" customHeight="1">
      <c r="A768" s="18"/>
      <c r="B768" s="33"/>
      <c r="C768" s="34"/>
      <c r="D768" s="33"/>
      <c r="E768" s="18"/>
      <c r="F768" s="16"/>
      <c r="G768" s="16"/>
      <c r="H768" s="16"/>
      <c r="I768" s="16"/>
      <c r="J768" s="16"/>
      <c r="K768" s="16"/>
      <c r="L768" s="37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38"/>
      <c r="Z768" s="34"/>
      <c r="AA768" s="18"/>
    </row>
    <row r="769" ht="21.0" customHeight="1">
      <c r="A769" s="18"/>
      <c r="B769" s="33"/>
      <c r="C769" s="34"/>
      <c r="D769" s="33"/>
      <c r="E769" s="18"/>
      <c r="F769" s="16"/>
      <c r="G769" s="16"/>
      <c r="H769" s="16"/>
      <c r="I769" s="16"/>
      <c r="J769" s="16"/>
      <c r="K769" s="16"/>
      <c r="L769" s="37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38"/>
      <c r="Z769" s="34"/>
      <c r="AA769" s="18"/>
    </row>
    <row r="770" ht="21.0" customHeight="1">
      <c r="A770" s="18"/>
      <c r="B770" s="33"/>
      <c r="C770" s="34"/>
      <c r="D770" s="33"/>
      <c r="E770" s="18"/>
      <c r="F770" s="16"/>
      <c r="G770" s="16"/>
      <c r="H770" s="16"/>
      <c r="I770" s="16"/>
      <c r="J770" s="16"/>
      <c r="K770" s="16"/>
      <c r="L770" s="37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38"/>
      <c r="Z770" s="34"/>
      <c r="AA770" s="18"/>
    </row>
    <row r="771" ht="21.0" customHeight="1">
      <c r="A771" s="18"/>
      <c r="B771" s="33"/>
      <c r="C771" s="34"/>
      <c r="D771" s="33"/>
      <c r="E771" s="18"/>
      <c r="F771" s="16"/>
      <c r="G771" s="16"/>
      <c r="H771" s="16"/>
      <c r="I771" s="16"/>
      <c r="J771" s="16"/>
      <c r="K771" s="16"/>
      <c r="L771" s="37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38"/>
      <c r="Z771" s="34"/>
      <c r="AA771" s="18"/>
    </row>
    <row r="772" ht="21.0" customHeight="1">
      <c r="A772" s="18"/>
      <c r="B772" s="33"/>
      <c r="C772" s="34"/>
      <c r="D772" s="33"/>
      <c r="E772" s="18"/>
      <c r="F772" s="16"/>
      <c r="G772" s="16"/>
      <c r="H772" s="16"/>
      <c r="I772" s="16"/>
      <c r="J772" s="16"/>
      <c r="K772" s="16"/>
      <c r="L772" s="37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38"/>
      <c r="Z772" s="34"/>
      <c r="AA772" s="18"/>
    </row>
    <row r="773" ht="21.0" customHeight="1">
      <c r="A773" s="18"/>
      <c r="B773" s="33"/>
      <c r="C773" s="34"/>
      <c r="D773" s="33"/>
      <c r="E773" s="18"/>
      <c r="F773" s="16"/>
      <c r="G773" s="16"/>
      <c r="H773" s="16"/>
      <c r="I773" s="16"/>
      <c r="J773" s="16"/>
      <c r="K773" s="16"/>
      <c r="L773" s="37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38"/>
      <c r="Z773" s="34"/>
      <c r="AA773" s="18"/>
    </row>
    <row r="774" ht="21.0" customHeight="1">
      <c r="A774" s="18"/>
      <c r="B774" s="33"/>
      <c r="C774" s="34"/>
      <c r="D774" s="33"/>
      <c r="E774" s="18"/>
      <c r="F774" s="16"/>
      <c r="G774" s="16"/>
      <c r="H774" s="16"/>
      <c r="I774" s="16"/>
      <c r="J774" s="16"/>
      <c r="K774" s="16"/>
      <c r="L774" s="37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38"/>
      <c r="Z774" s="34"/>
      <c r="AA774" s="18"/>
    </row>
    <row r="775" ht="21.0" customHeight="1">
      <c r="A775" s="18"/>
      <c r="B775" s="33"/>
      <c r="C775" s="34"/>
      <c r="D775" s="33"/>
      <c r="E775" s="18"/>
      <c r="F775" s="16"/>
      <c r="G775" s="16"/>
      <c r="H775" s="16"/>
      <c r="I775" s="16"/>
      <c r="J775" s="16"/>
      <c r="K775" s="16"/>
      <c r="L775" s="37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38"/>
      <c r="Z775" s="34"/>
      <c r="AA775" s="18"/>
    </row>
    <row r="776" ht="21.0" customHeight="1">
      <c r="A776" s="18"/>
      <c r="B776" s="33"/>
      <c r="C776" s="34"/>
      <c r="D776" s="33"/>
      <c r="E776" s="18"/>
      <c r="F776" s="16"/>
      <c r="G776" s="16"/>
      <c r="H776" s="16"/>
      <c r="I776" s="16"/>
      <c r="J776" s="16"/>
      <c r="K776" s="16"/>
      <c r="L776" s="37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38"/>
      <c r="Z776" s="34"/>
      <c r="AA776" s="18"/>
    </row>
    <row r="777" ht="21.0" customHeight="1">
      <c r="A777" s="18"/>
      <c r="B777" s="33"/>
      <c r="C777" s="34"/>
      <c r="D777" s="33"/>
      <c r="E777" s="18"/>
      <c r="F777" s="16"/>
      <c r="G777" s="16"/>
      <c r="H777" s="16"/>
      <c r="I777" s="16"/>
      <c r="J777" s="16"/>
      <c r="K777" s="16"/>
      <c r="L777" s="37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38"/>
      <c r="Z777" s="34"/>
      <c r="AA777" s="18"/>
    </row>
    <row r="778" ht="21.0" customHeight="1">
      <c r="A778" s="18"/>
      <c r="B778" s="33"/>
      <c r="C778" s="34"/>
      <c r="D778" s="33"/>
      <c r="E778" s="18"/>
      <c r="F778" s="16"/>
      <c r="G778" s="16"/>
      <c r="H778" s="16"/>
      <c r="I778" s="16"/>
      <c r="J778" s="16"/>
      <c r="K778" s="16"/>
      <c r="L778" s="37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38"/>
      <c r="Z778" s="34"/>
      <c r="AA778" s="18"/>
    </row>
    <row r="779" ht="21.0" customHeight="1">
      <c r="A779" s="18"/>
      <c r="B779" s="33"/>
      <c r="C779" s="34"/>
      <c r="D779" s="33"/>
      <c r="E779" s="18"/>
      <c r="F779" s="16"/>
      <c r="G779" s="16"/>
      <c r="H779" s="16"/>
      <c r="I779" s="16"/>
      <c r="J779" s="16"/>
      <c r="K779" s="16"/>
      <c r="L779" s="37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38"/>
      <c r="Z779" s="34"/>
      <c r="AA779" s="18"/>
    </row>
    <row r="780" ht="21.0" customHeight="1">
      <c r="A780" s="18"/>
      <c r="B780" s="33"/>
      <c r="C780" s="34"/>
      <c r="D780" s="33"/>
      <c r="E780" s="18"/>
      <c r="F780" s="16"/>
      <c r="G780" s="16"/>
      <c r="H780" s="16"/>
      <c r="I780" s="16"/>
      <c r="J780" s="16"/>
      <c r="K780" s="16"/>
      <c r="L780" s="37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38"/>
      <c r="Z780" s="34"/>
      <c r="AA780" s="18"/>
    </row>
    <row r="781" ht="21.0" customHeight="1">
      <c r="A781" s="18"/>
      <c r="B781" s="33"/>
      <c r="C781" s="34"/>
      <c r="D781" s="33"/>
      <c r="E781" s="18"/>
      <c r="F781" s="16"/>
      <c r="G781" s="16"/>
      <c r="H781" s="16"/>
      <c r="I781" s="16"/>
      <c r="J781" s="16"/>
      <c r="K781" s="16"/>
      <c r="L781" s="37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38"/>
      <c r="Z781" s="34"/>
      <c r="AA781" s="18"/>
    </row>
    <row r="782" ht="21.0" customHeight="1">
      <c r="A782" s="18"/>
      <c r="B782" s="33"/>
      <c r="C782" s="34"/>
      <c r="D782" s="33"/>
      <c r="E782" s="18"/>
      <c r="F782" s="16"/>
      <c r="G782" s="16"/>
      <c r="H782" s="16"/>
      <c r="I782" s="16"/>
      <c r="J782" s="16"/>
      <c r="K782" s="16"/>
      <c r="L782" s="37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38"/>
      <c r="Z782" s="34"/>
      <c r="AA782" s="18"/>
    </row>
    <row r="783" ht="21.0" customHeight="1">
      <c r="A783" s="18"/>
      <c r="B783" s="33"/>
      <c r="C783" s="34"/>
      <c r="D783" s="33"/>
      <c r="E783" s="18"/>
      <c r="F783" s="16"/>
      <c r="G783" s="16"/>
      <c r="H783" s="16"/>
      <c r="I783" s="16"/>
      <c r="J783" s="16"/>
      <c r="K783" s="16"/>
      <c r="L783" s="37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38"/>
      <c r="Z783" s="34"/>
      <c r="AA783" s="18"/>
    </row>
    <row r="784" ht="21.0" customHeight="1">
      <c r="A784" s="18"/>
      <c r="B784" s="33"/>
      <c r="C784" s="34"/>
      <c r="D784" s="33"/>
      <c r="E784" s="18"/>
      <c r="F784" s="16"/>
      <c r="G784" s="16"/>
      <c r="H784" s="16"/>
      <c r="I784" s="16"/>
      <c r="J784" s="16"/>
      <c r="K784" s="16"/>
      <c r="L784" s="37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38"/>
      <c r="Z784" s="34"/>
      <c r="AA784" s="18"/>
    </row>
    <row r="785" ht="21.0" customHeight="1">
      <c r="A785" s="18"/>
      <c r="B785" s="33"/>
      <c r="C785" s="34"/>
      <c r="D785" s="33"/>
      <c r="E785" s="18"/>
      <c r="F785" s="16"/>
      <c r="G785" s="16"/>
      <c r="H785" s="16"/>
      <c r="I785" s="16"/>
      <c r="J785" s="16"/>
      <c r="K785" s="16"/>
      <c r="L785" s="37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38"/>
      <c r="Z785" s="34"/>
      <c r="AA785" s="18"/>
    </row>
    <row r="786" ht="21.0" customHeight="1">
      <c r="A786" s="18"/>
      <c r="B786" s="33"/>
      <c r="C786" s="34"/>
      <c r="D786" s="33"/>
      <c r="E786" s="18"/>
      <c r="F786" s="16"/>
      <c r="G786" s="16"/>
      <c r="H786" s="16"/>
      <c r="I786" s="16"/>
      <c r="J786" s="16"/>
      <c r="K786" s="16"/>
      <c r="L786" s="37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38"/>
      <c r="Z786" s="34"/>
      <c r="AA786" s="18"/>
    </row>
    <row r="787" ht="21.0" customHeight="1">
      <c r="A787" s="18"/>
      <c r="B787" s="33"/>
      <c r="C787" s="34"/>
      <c r="D787" s="33"/>
      <c r="E787" s="18"/>
      <c r="F787" s="16"/>
      <c r="G787" s="16"/>
      <c r="H787" s="16"/>
      <c r="I787" s="16"/>
      <c r="J787" s="16"/>
      <c r="K787" s="16"/>
      <c r="L787" s="37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38"/>
      <c r="Z787" s="34"/>
      <c r="AA787" s="18"/>
    </row>
    <row r="788" ht="21.0" customHeight="1">
      <c r="A788" s="18"/>
      <c r="B788" s="33"/>
      <c r="C788" s="34"/>
      <c r="D788" s="33"/>
      <c r="E788" s="18"/>
      <c r="F788" s="16"/>
      <c r="G788" s="16"/>
      <c r="H788" s="16"/>
      <c r="I788" s="16"/>
      <c r="J788" s="16"/>
      <c r="K788" s="16"/>
      <c r="L788" s="37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38"/>
      <c r="Z788" s="34"/>
      <c r="AA788" s="18"/>
    </row>
    <row r="789" ht="21.0" customHeight="1">
      <c r="A789" s="18"/>
      <c r="B789" s="33"/>
      <c r="C789" s="34"/>
      <c r="D789" s="33"/>
      <c r="E789" s="18"/>
      <c r="F789" s="16"/>
      <c r="G789" s="16"/>
      <c r="H789" s="16"/>
      <c r="I789" s="16"/>
      <c r="J789" s="16"/>
      <c r="K789" s="16"/>
      <c r="L789" s="37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38"/>
      <c r="Z789" s="34"/>
      <c r="AA789" s="18"/>
    </row>
    <row r="790" ht="21.0" customHeight="1">
      <c r="A790" s="18"/>
      <c r="B790" s="33"/>
      <c r="C790" s="34"/>
      <c r="D790" s="33"/>
      <c r="E790" s="18"/>
      <c r="F790" s="16"/>
      <c r="G790" s="16"/>
      <c r="H790" s="16"/>
      <c r="I790" s="16"/>
      <c r="J790" s="16"/>
      <c r="K790" s="16"/>
      <c r="L790" s="37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38"/>
      <c r="Z790" s="34"/>
      <c r="AA790" s="18"/>
    </row>
    <row r="791" ht="21.0" customHeight="1">
      <c r="A791" s="18"/>
      <c r="B791" s="33"/>
      <c r="C791" s="34"/>
      <c r="D791" s="33"/>
      <c r="E791" s="18"/>
      <c r="F791" s="16"/>
      <c r="G791" s="16"/>
      <c r="H791" s="16"/>
      <c r="I791" s="16"/>
      <c r="J791" s="16"/>
      <c r="K791" s="16"/>
      <c r="L791" s="37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38"/>
      <c r="Z791" s="34"/>
      <c r="AA791" s="18"/>
    </row>
    <row r="792" ht="21.0" customHeight="1">
      <c r="A792" s="18"/>
      <c r="B792" s="33"/>
      <c r="C792" s="34"/>
      <c r="D792" s="33"/>
      <c r="E792" s="18"/>
      <c r="F792" s="16"/>
      <c r="G792" s="16"/>
      <c r="H792" s="16"/>
      <c r="I792" s="16"/>
      <c r="J792" s="16"/>
      <c r="K792" s="16"/>
      <c r="L792" s="37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38"/>
      <c r="Z792" s="34"/>
      <c r="AA792" s="18"/>
    </row>
    <row r="793" ht="21.0" customHeight="1">
      <c r="A793" s="18"/>
      <c r="B793" s="33"/>
      <c r="C793" s="34"/>
      <c r="D793" s="33"/>
      <c r="E793" s="18"/>
      <c r="F793" s="16"/>
      <c r="G793" s="16"/>
      <c r="H793" s="16"/>
      <c r="I793" s="16"/>
      <c r="J793" s="16"/>
      <c r="K793" s="16"/>
      <c r="L793" s="37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38"/>
      <c r="Z793" s="34"/>
      <c r="AA793" s="18"/>
    </row>
    <row r="794" ht="21.0" customHeight="1">
      <c r="A794" s="18"/>
      <c r="B794" s="33"/>
      <c r="C794" s="34"/>
      <c r="D794" s="33"/>
      <c r="E794" s="18"/>
      <c r="F794" s="16"/>
      <c r="G794" s="16"/>
      <c r="H794" s="16"/>
      <c r="I794" s="16"/>
      <c r="J794" s="16"/>
      <c r="K794" s="16"/>
      <c r="L794" s="37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38"/>
      <c r="Z794" s="34"/>
      <c r="AA794" s="18"/>
    </row>
    <row r="795" ht="21.0" customHeight="1">
      <c r="A795" s="18"/>
      <c r="B795" s="33"/>
      <c r="C795" s="34"/>
      <c r="D795" s="33"/>
      <c r="E795" s="18"/>
      <c r="F795" s="16"/>
      <c r="G795" s="16"/>
      <c r="H795" s="16"/>
      <c r="I795" s="16"/>
      <c r="J795" s="16"/>
      <c r="K795" s="16"/>
      <c r="L795" s="37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38"/>
      <c r="Z795" s="34"/>
      <c r="AA795" s="18"/>
    </row>
    <row r="796" ht="21.0" customHeight="1">
      <c r="A796" s="18"/>
      <c r="B796" s="33"/>
      <c r="C796" s="34"/>
      <c r="D796" s="33"/>
      <c r="E796" s="18"/>
      <c r="F796" s="16"/>
      <c r="G796" s="16"/>
      <c r="H796" s="16"/>
      <c r="I796" s="16"/>
      <c r="J796" s="16"/>
      <c r="K796" s="16"/>
      <c r="L796" s="37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38"/>
      <c r="Z796" s="34"/>
      <c r="AA796" s="18"/>
    </row>
    <row r="797" ht="21.0" customHeight="1">
      <c r="A797" s="18"/>
      <c r="B797" s="33"/>
      <c r="C797" s="34"/>
      <c r="D797" s="33"/>
      <c r="E797" s="18"/>
      <c r="F797" s="16"/>
      <c r="G797" s="16"/>
      <c r="H797" s="16"/>
      <c r="I797" s="16"/>
      <c r="J797" s="16"/>
      <c r="K797" s="16"/>
      <c r="L797" s="37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38"/>
      <c r="Z797" s="34"/>
      <c r="AA797" s="18"/>
    </row>
    <row r="798" ht="21.0" customHeight="1">
      <c r="A798" s="18"/>
      <c r="B798" s="33"/>
      <c r="C798" s="34"/>
      <c r="D798" s="33"/>
      <c r="E798" s="18"/>
      <c r="F798" s="16"/>
      <c r="G798" s="16"/>
      <c r="H798" s="16"/>
      <c r="I798" s="16"/>
      <c r="J798" s="16"/>
      <c r="K798" s="16"/>
      <c r="L798" s="37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38"/>
      <c r="Z798" s="34"/>
      <c r="AA798" s="18"/>
    </row>
    <row r="799" ht="21.0" customHeight="1">
      <c r="A799" s="18"/>
      <c r="B799" s="33"/>
      <c r="C799" s="34"/>
      <c r="D799" s="33"/>
      <c r="E799" s="18"/>
      <c r="F799" s="16"/>
      <c r="G799" s="16"/>
      <c r="H799" s="16"/>
      <c r="I799" s="16"/>
      <c r="J799" s="16"/>
      <c r="K799" s="16"/>
      <c r="L799" s="37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38"/>
      <c r="Z799" s="34"/>
      <c r="AA799" s="18"/>
    </row>
    <row r="800" ht="21.0" customHeight="1">
      <c r="A800" s="18"/>
      <c r="B800" s="33"/>
      <c r="C800" s="34"/>
      <c r="D800" s="33"/>
      <c r="E800" s="18"/>
      <c r="F800" s="16"/>
      <c r="G800" s="16"/>
      <c r="H800" s="16"/>
      <c r="I800" s="16"/>
      <c r="J800" s="16"/>
      <c r="K800" s="16"/>
      <c r="L800" s="37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38"/>
      <c r="Z800" s="34"/>
      <c r="AA800" s="18"/>
    </row>
    <row r="801" ht="21.0" customHeight="1">
      <c r="A801" s="18"/>
      <c r="B801" s="33"/>
      <c r="C801" s="34"/>
      <c r="D801" s="33"/>
      <c r="E801" s="18"/>
      <c r="F801" s="16"/>
      <c r="G801" s="16"/>
      <c r="H801" s="16"/>
      <c r="I801" s="16"/>
      <c r="J801" s="16"/>
      <c r="K801" s="16"/>
      <c r="L801" s="37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38"/>
      <c r="Z801" s="34"/>
      <c r="AA801" s="18"/>
    </row>
    <row r="802" ht="21.0" customHeight="1">
      <c r="A802" s="18"/>
      <c r="B802" s="33"/>
      <c r="C802" s="34"/>
      <c r="D802" s="33"/>
      <c r="E802" s="18"/>
      <c r="F802" s="16"/>
      <c r="G802" s="16"/>
      <c r="H802" s="16"/>
      <c r="I802" s="16"/>
      <c r="J802" s="16"/>
      <c r="K802" s="16"/>
      <c r="L802" s="37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38"/>
      <c r="Z802" s="34"/>
      <c r="AA802" s="18"/>
    </row>
    <row r="803" ht="21.0" customHeight="1">
      <c r="A803" s="18"/>
      <c r="B803" s="33"/>
      <c r="C803" s="34"/>
      <c r="D803" s="33"/>
      <c r="E803" s="18"/>
      <c r="F803" s="16"/>
      <c r="G803" s="16"/>
      <c r="H803" s="16"/>
      <c r="I803" s="16"/>
      <c r="J803" s="16"/>
      <c r="K803" s="16"/>
      <c r="L803" s="37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38"/>
      <c r="Z803" s="34"/>
      <c r="AA803" s="18"/>
    </row>
    <row r="804" ht="21.0" customHeight="1">
      <c r="A804" s="18"/>
      <c r="B804" s="33"/>
      <c r="C804" s="34"/>
      <c r="D804" s="33"/>
      <c r="E804" s="18"/>
      <c r="F804" s="16"/>
      <c r="G804" s="16"/>
      <c r="H804" s="16"/>
      <c r="I804" s="16"/>
      <c r="J804" s="16"/>
      <c r="K804" s="16"/>
      <c r="L804" s="37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38"/>
      <c r="Z804" s="34"/>
      <c r="AA804" s="18"/>
    </row>
    <row r="805" ht="21.0" customHeight="1">
      <c r="A805" s="18"/>
      <c r="B805" s="33"/>
      <c r="C805" s="34"/>
      <c r="D805" s="33"/>
      <c r="E805" s="18"/>
      <c r="F805" s="16"/>
      <c r="G805" s="16"/>
      <c r="H805" s="16"/>
      <c r="I805" s="16"/>
      <c r="J805" s="16"/>
      <c r="K805" s="16"/>
      <c r="L805" s="37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38"/>
      <c r="Z805" s="34"/>
      <c r="AA805" s="18"/>
    </row>
    <row r="806" ht="21.0" customHeight="1">
      <c r="A806" s="18"/>
      <c r="B806" s="33"/>
      <c r="C806" s="34"/>
      <c r="D806" s="33"/>
      <c r="E806" s="18"/>
      <c r="F806" s="16"/>
      <c r="G806" s="16"/>
      <c r="H806" s="16"/>
      <c r="I806" s="16"/>
      <c r="J806" s="16"/>
      <c r="K806" s="16"/>
      <c r="L806" s="37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38"/>
      <c r="Z806" s="34"/>
      <c r="AA806" s="18"/>
    </row>
    <row r="807" ht="21.0" customHeight="1">
      <c r="A807" s="18"/>
      <c r="B807" s="33"/>
      <c r="C807" s="34"/>
      <c r="D807" s="33"/>
      <c r="E807" s="18"/>
      <c r="F807" s="16"/>
      <c r="G807" s="16"/>
      <c r="H807" s="16"/>
      <c r="I807" s="16"/>
      <c r="J807" s="16"/>
      <c r="K807" s="16"/>
      <c r="L807" s="37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38"/>
      <c r="Z807" s="34"/>
      <c r="AA807" s="18"/>
    </row>
    <row r="808" ht="21.0" customHeight="1">
      <c r="A808" s="18"/>
      <c r="B808" s="33"/>
      <c r="C808" s="34"/>
      <c r="D808" s="33"/>
      <c r="E808" s="18"/>
      <c r="F808" s="16"/>
      <c r="G808" s="16"/>
      <c r="H808" s="16"/>
      <c r="I808" s="16"/>
      <c r="J808" s="16"/>
      <c r="K808" s="16"/>
      <c r="L808" s="37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38"/>
      <c r="Z808" s="34"/>
      <c r="AA808" s="18"/>
    </row>
    <row r="809" ht="21.0" customHeight="1">
      <c r="A809" s="18"/>
      <c r="B809" s="33"/>
      <c r="C809" s="34"/>
      <c r="D809" s="33"/>
      <c r="E809" s="18"/>
      <c r="F809" s="16"/>
      <c r="G809" s="16"/>
      <c r="H809" s="16"/>
      <c r="I809" s="16"/>
      <c r="J809" s="16"/>
      <c r="K809" s="16"/>
      <c r="L809" s="37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38"/>
      <c r="Z809" s="34"/>
      <c r="AA809" s="18"/>
    </row>
    <row r="810" ht="21.0" customHeight="1">
      <c r="A810" s="18"/>
      <c r="B810" s="33"/>
      <c r="C810" s="34"/>
      <c r="D810" s="33"/>
      <c r="E810" s="18"/>
      <c r="F810" s="16"/>
      <c r="G810" s="16"/>
      <c r="H810" s="16"/>
      <c r="I810" s="16"/>
      <c r="J810" s="16"/>
      <c r="K810" s="16"/>
      <c r="L810" s="37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38"/>
      <c r="Z810" s="34"/>
      <c r="AA810" s="18"/>
    </row>
    <row r="811" ht="21.0" customHeight="1">
      <c r="A811" s="18"/>
      <c r="B811" s="33"/>
      <c r="C811" s="34"/>
      <c r="D811" s="33"/>
      <c r="E811" s="18"/>
      <c r="F811" s="16"/>
      <c r="G811" s="16"/>
      <c r="H811" s="16"/>
      <c r="I811" s="16"/>
      <c r="J811" s="16"/>
      <c r="K811" s="16"/>
      <c r="L811" s="37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38"/>
      <c r="Z811" s="34"/>
      <c r="AA811" s="18"/>
    </row>
    <row r="812" ht="21.0" customHeight="1">
      <c r="A812" s="18"/>
      <c r="B812" s="33"/>
      <c r="C812" s="34"/>
      <c r="D812" s="33"/>
      <c r="E812" s="18"/>
      <c r="F812" s="16"/>
      <c r="G812" s="16"/>
      <c r="H812" s="16"/>
      <c r="I812" s="16"/>
      <c r="J812" s="16"/>
      <c r="K812" s="16"/>
      <c r="L812" s="37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38"/>
      <c r="Z812" s="34"/>
      <c r="AA812" s="18"/>
    </row>
    <row r="813" ht="21.0" customHeight="1">
      <c r="A813" s="18"/>
      <c r="B813" s="33"/>
      <c r="C813" s="34"/>
      <c r="D813" s="33"/>
      <c r="E813" s="18"/>
      <c r="F813" s="16"/>
      <c r="G813" s="16"/>
      <c r="H813" s="16"/>
      <c r="I813" s="16"/>
      <c r="J813" s="16"/>
      <c r="K813" s="16"/>
      <c r="L813" s="37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38"/>
      <c r="Z813" s="34"/>
      <c r="AA813" s="18"/>
    </row>
    <row r="814" ht="21.0" customHeight="1">
      <c r="A814" s="18"/>
      <c r="B814" s="33"/>
      <c r="C814" s="34"/>
      <c r="D814" s="33"/>
      <c r="E814" s="18"/>
      <c r="F814" s="16"/>
      <c r="G814" s="16"/>
      <c r="H814" s="16"/>
      <c r="I814" s="16"/>
      <c r="J814" s="16"/>
      <c r="K814" s="16"/>
      <c r="L814" s="37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38"/>
      <c r="Z814" s="34"/>
      <c r="AA814" s="18"/>
    </row>
    <row r="815" ht="21.0" customHeight="1">
      <c r="A815" s="18"/>
      <c r="B815" s="33"/>
      <c r="C815" s="34"/>
      <c r="D815" s="33"/>
      <c r="E815" s="18"/>
      <c r="F815" s="16"/>
      <c r="G815" s="16"/>
      <c r="H815" s="16"/>
      <c r="I815" s="16"/>
      <c r="J815" s="16"/>
      <c r="K815" s="16"/>
      <c r="L815" s="37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38"/>
      <c r="Z815" s="34"/>
      <c r="AA815" s="18"/>
    </row>
    <row r="816" ht="21.0" customHeight="1">
      <c r="A816" s="18"/>
      <c r="B816" s="33"/>
      <c r="C816" s="34"/>
      <c r="D816" s="33"/>
      <c r="E816" s="18"/>
      <c r="F816" s="16"/>
      <c r="G816" s="16"/>
      <c r="H816" s="16"/>
      <c r="I816" s="16"/>
      <c r="J816" s="16"/>
      <c r="K816" s="16"/>
      <c r="L816" s="37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38"/>
      <c r="Z816" s="34"/>
      <c r="AA816" s="18"/>
    </row>
    <row r="817" ht="21.0" customHeight="1">
      <c r="A817" s="18"/>
      <c r="B817" s="33"/>
      <c r="C817" s="34"/>
      <c r="D817" s="33"/>
      <c r="E817" s="18"/>
      <c r="F817" s="16"/>
      <c r="G817" s="16"/>
      <c r="H817" s="16"/>
      <c r="I817" s="16"/>
      <c r="J817" s="16"/>
      <c r="K817" s="16"/>
      <c r="L817" s="37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38"/>
      <c r="Z817" s="34"/>
      <c r="AA817" s="18"/>
    </row>
    <row r="818" ht="21.0" customHeight="1">
      <c r="A818" s="18"/>
      <c r="B818" s="33"/>
      <c r="C818" s="34"/>
      <c r="D818" s="33"/>
      <c r="E818" s="18"/>
      <c r="F818" s="16"/>
      <c r="G818" s="16"/>
      <c r="H818" s="16"/>
      <c r="I818" s="16"/>
      <c r="J818" s="16"/>
      <c r="K818" s="16"/>
      <c r="L818" s="37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38"/>
      <c r="Z818" s="34"/>
      <c r="AA818" s="18"/>
    </row>
    <row r="819" ht="21.0" customHeight="1">
      <c r="A819" s="18"/>
      <c r="B819" s="33"/>
      <c r="C819" s="34"/>
      <c r="D819" s="33"/>
      <c r="E819" s="18"/>
      <c r="F819" s="16"/>
      <c r="G819" s="16"/>
      <c r="H819" s="16"/>
      <c r="I819" s="16"/>
      <c r="J819" s="16"/>
      <c r="K819" s="16"/>
      <c r="L819" s="37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38"/>
      <c r="Z819" s="34"/>
      <c r="AA819" s="18"/>
    </row>
    <row r="820" ht="21.0" customHeight="1">
      <c r="A820" s="18"/>
      <c r="B820" s="33"/>
      <c r="C820" s="34"/>
      <c r="D820" s="33"/>
      <c r="E820" s="18"/>
      <c r="F820" s="16"/>
      <c r="G820" s="16"/>
      <c r="H820" s="16"/>
      <c r="I820" s="16"/>
      <c r="J820" s="16"/>
      <c r="K820" s="16"/>
      <c r="L820" s="37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38"/>
      <c r="Z820" s="34"/>
      <c r="AA820" s="18"/>
    </row>
    <row r="821" ht="21.0" customHeight="1">
      <c r="A821" s="18"/>
      <c r="B821" s="33"/>
      <c r="C821" s="34"/>
      <c r="D821" s="33"/>
      <c r="E821" s="18"/>
      <c r="F821" s="16"/>
      <c r="G821" s="16"/>
      <c r="H821" s="16"/>
      <c r="I821" s="16"/>
      <c r="J821" s="16"/>
      <c r="K821" s="16"/>
      <c r="L821" s="37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38"/>
      <c r="Z821" s="34"/>
      <c r="AA821" s="18"/>
    </row>
    <row r="822" ht="21.0" customHeight="1">
      <c r="A822" s="18"/>
      <c r="B822" s="33"/>
      <c r="C822" s="34"/>
      <c r="D822" s="33"/>
      <c r="E822" s="18"/>
      <c r="F822" s="16"/>
      <c r="G822" s="16"/>
      <c r="H822" s="16"/>
      <c r="I822" s="16"/>
      <c r="J822" s="16"/>
      <c r="K822" s="16"/>
      <c r="L822" s="37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38"/>
      <c r="Z822" s="34"/>
      <c r="AA822" s="18"/>
    </row>
    <row r="823" ht="21.0" customHeight="1">
      <c r="A823" s="18"/>
      <c r="B823" s="33"/>
      <c r="C823" s="34"/>
      <c r="D823" s="33"/>
      <c r="E823" s="18"/>
      <c r="F823" s="16"/>
      <c r="G823" s="16"/>
      <c r="H823" s="16"/>
      <c r="I823" s="16"/>
      <c r="J823" s="16"/>
      <c r="K823" s="16"/>
      <c r="L823" s="37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38"/>
      <c r="Z823" s="34"/>
      <c r="AA823" s="18"/>
    </row>
    <row r="824" ht="21.0" customHeight="1">
      <c r="A824" s="18"/>
      <c r="B824" s="33"/>
      <c r="C824" s="34"/>
      <c r="D824" s="33"/>
      <c r="E824" s="18"/>
      <c r="F824" s="16"/>
      <c r="G824" s="16"/>
      <c r="H824" s="16"/>
      <c r="I824" s="16"/>
      <c r="J824" s="16"/>
      <c r="K824" s="16"/>
      <c r="L824" s="37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38"/>
      <c r="Z824" s="34"/>
      <c r="AA824" s="18"/>
    </row>
    <row r="825" ht="21.0" customHeight="1">
      <c r="A825" s="18"/>
      <c r="B825" s="33"/>
      <c r="C825" s="34"/>
      <c r="D825" s="33"/>
      <c r="E825" s="18"/>
      <c r="F825" s="16"/>
      <c r="G825" s="16"/>
      <c r="H825" s="16"/>
      <c r="I825" s="16"/>
      <c r="J825" s="16"/>
      <c r="K825" s="16"/>
      <c r="L825" s="37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38"/>
      <c r="Z825" s="34"/>
      <c r="AA825" s="18"/>
    </row>
    <row r="826" ht="21.0" customHeight="1">
      <c r="A826" s="18"/>
      <c r="B826" s="33"/>
      <c r="C826" s="34"/>
      <c r="D826" s="33"/>
      <c r="E826" s="18"/>
      <c r="F826" s="16"/>
      <c r="G826" s="16"/>
      <c r="H826" s="16"/>
      <c r="I826" s="16"/>
      <c r="J826" s="16"/>
      <c r="K826" s="16"/>
      <c r="L826" s="37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38"/>
      <c r="Z826" s="34"/>
      <c r="AA826" s="18"/>
    </row>
    <row r="827" ht="21.0" customHeight="1">
      <c r="A827" s="18"/>
      <c r="B827" s="33"/>
      <c r="C827" s="34"/>
      <c r="D827" s="33"/>
      <c r="E827" s="18"/>
      <c r="F827" s="16"/>
      <c r="G827" s="16"/>
      <c r="H827" s="16"/>
      <c r="I827" s="16"/>
      <c r="J827" s="16"/>
      <c r="K827" s="16"/>
      <c r="L827" s="37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38"/>
      <c r="Z827" s="34"/>
      <c r="AA827" s="18"/>
    </row>
    <row r="828" ht="21.0" customHeight="1">
      <c r="A828" s="18"/>
      <c r="B828" s="33"/>
      <c r="C828" s="34"/>
      <c r="D828" s="33"/>
      <c r="E828" s="18"/>
      <c r="F828" s="16"/>
      <c r="G828" s="16"/>
      <c r="H828" s="16"/>
      <c r="I828" s="16"/>
      <c r="J828" s="16"/>
      <c r="K828" s="16"/>
      <c r="L828" s="37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38"/>
      <c r="Z828" s="34"/>
      <c r="AA828" s="18"/>
    </row>
    <row r="829" ht="21.0" customHeight="1">
      <c r="A829" s="18"/>
      <c r="B829" s="33"/>
      <c r="C829" s="34"/>
      <c r="D829" s="33"/>
      <c r="E829" s="18"/>
      <c r="F829" s="16"/>
      <c r="G829" s="16"/>
      <c r="H829" s="16"/>
      <c r="I829" s="16"/>
      <c r="J829" s="16"/>
      <c r="K829" s="16"/>
      <c r="L829" s="37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38"/>
      <c r="Z829" s="34"/>
      <c r="AA829" s="18"/>
    </row>
    <row r="830" ht="21.0" customHeight="1">
      <c r="A830" s="18"/>
      <c r="B830" s="33"/>
      <c r="C830" s="34"/>
      <c r="D830" s="33"/>
      <c r="E830" s="18"/>
      <c r="F830" s="16"/>
      <c r="G830" s="16"/>
      <c r="H830" s="16"/>
      <c r="I830" s="16"/>
      <c r="J830" s="16"/>
      <c r="K830" s="16"/>
      <c r="L830" s="37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38"/>
      <c r="Z830" s="34"/>
      <c r="AA830" s="18"/>
    </row>
    <row r="831" ht="21.0" customHeight="1">
      <c r="A831" s="18"/>
      <c r="B831" s="33"/>
      <c r="C831" s="34"/>
      <c r="D831" s="33"/>
      <c r="E831" s="18"/>
      <c r="F831" s="16"/>
      <c r="G831" s="16"/>
      <c r="H831" s="16"/>
      <c r="I831" s="16"/>
      <c r="J831" s="16"/>
      <c r="K831" s="16"/>
      <c r="L831" s="37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38"/>
      <c r="Z831" s="34"/>
      <c r="AA831" s="18"/>
    </row>
    <row r="832" ht="21.0" customHeight="1">
      <c r="A832" s="18"/>
      <c r="B832" s="33"/>
      <c r="C832" s="34"/>
      <c r="D832" s="33"/>
      <c r="E832" s="18"/>
      <c r="F832" s="16"/>
      <c r="G832" s="16"/>
      <c r="H832" s="16"/>
      <c r="I832" s="16"/>
      <c r="J832" s="16"/>
      <c r="K832" s="16"/>
      <c r="L832" s="37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38"/>
      <c r="Z832" s="34"/>
      <c r="AA832" s="18"/>
    </row>
    <row r="833" ht="21.0" customHeight="1">
      <c r="A833" s="18"/>
      <c r="B833" s="33"/>
      <c r="C833" s="34"/>
      <c r="D833" s="33"/>
      <c r="E833" s="18"/>
      <c r="F833" s="16"/>
      <c r="G833" s="16"/>
      <c r="H833" s="16"/>
      <c r="I833" s="16"/>
      <c r="J833" s="16"/>
      <c r="K833" s="16"/>
      <c r="L833" s="37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38"/>
      <c r="Z833" s="34"/>
      <c r="AA833" s="18"/>
    </row>
    <row r="834" ht="21.0" customHeight="1">
      <c r="A834" s="18"/>
      <c r="B834" s="33"/>
      <c r="C834" s="34"/>
      <c r="D834" s="33"/>
      <c r="E834" s="18"/>
      <c r="F834" s="16"/>
      <c r="G834" s="16"/>
      <c r="H834" s="16"/>
      <c r="I834" s="16"/>
      <c r="J834" s="16"/>
      <c r="K834" s="16"/>
      <c r="L834" s="37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38"/>
      <c r="Z834" s="34"/>
      <c r="AA834" s="18"/>
    </row>
    <row r="835" ht="21.0" customHeight="1">
      <c r="A835" s="18"/>
      <c r="B835" s="33"/>
      <c r="C835" s="34"/>
      <c r="D835" s="33"/>
      <c r="E835" s="18"/>
      <c r="F835" s="16"/>
      <c r="G835" s="16"/>
      <c r="H835" s="16"/>
      <c r="I835" s="16"/>
      <c r="J835" s="16"/>
      <c r="K835" s="16"/>
      <c r="L835" s="37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38"/>
      <c r="Z835" s="34"/>
      <c r="AA835" s="18"/>
    </row>
    <row r="836" ht="21.0" customHeight="1">
      <c r="A836" s="18"/>
      <c r="B836" s="33"/>
      <c r="C836" s="34"/>
      <c r="D836" s="33"/>
      <c r="E836" s="18"/>
      <c r="F836" s="16"/>
      <c r="G836" s="16"/>
      <c r="H836" s="16"/>
      <c r="I836" s="16"/>
      <c r="J836" s="16"/>
      <c r="K836" s="16"/>
      <c r="L836" s="37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38"/>
      <c r="Z836" s="34"/>
      <c r="AA836" s="18"/>
    </row>
    <row r="837" ht="21.0" customHeight="1">
      <c r="A837" s="18"/>
      <c r="B837" s="33"/>
      <c r="C837" s="34"/>
      <c r="D837" s="33"/>
      <c r="E837" s="18"/>
      <c r="F837" s="16"/>
      <c r="G837" s="16"/>
      <c r="H837" s="16"/>
      <c r="I837" s="16"/>
      <c r="J837" s="16"/>
      <c r="K837" s="16"/>
      <c r="L837" s="37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38"/>
      <c r="Z837" s="34"/>
      <c r="AA837" s="18"/>
    </row>
    <row r="838" ht="21.0" customHeight="1">
      <c r="A838" s="18"/>
      <c r="B838" s="33"/>
      <c r="C838" s="34"/>
      <c r="D838" s="33"/>
      <c r="E838" s="18"/>
      <c r="F838" s="16"/>
      <c r="G838" s="16"/>
      <c r="H838" s="16"/>
      <c r="I838" s="16"/>
      <c r="J838" s="16"/>
      <c r="K838" s="16"/>
      <c r="L838" s="37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38"/>
      <c r="Z838" s="34"/>
      <c r="AA838" s="18"/>
    </row>
    <row r="839" ht="21.0" customHeight="1">
      <c r="A839" s="18"/>
      <c r="B839" s="33"/>
      <c r="C839" s="34"/>
      <c r="D839" s="33"/>
      <c r="E839" s="18"/>
      <c r="F839" s="16"/>
      <c r="G839" s="16"/>
      <c r="H839" s="16"/>
      <c r="I839" s="16"/>
      <c r="J839" s="16"/>
      <c r="K839" s="16"/>
      <c r="L839" s="37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38"/>
      <c r="Z839" s="34"/>
      <c r="AA839" s="18"/>
    </row>
    <row r="840" ht="21.0" customHeight="1">
      <c r="A840" s="18"/>
      <c r="B840" s="33"/>
      <c r="C840" s="34"/>
      <c r="D840" s="33"/>
      <c r="E840" s="18"/>
      <c r="F840" s="16"/>
      <c r="G840" s="16"/>
      <c r="H840" s="16"/>
      <c r="I840" s="16"/>
      <c r="J840" s="16"/>
      <c r="K840" s="16"/>
      <c r="L840" s="37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38"/>
      <c r="Z840" s="34"/>
      <c r="AA840" s="18"/>
    </row>
    <row r="841" ht="21.0" customHeight="1">
      <c r="A841" s="18"/>
      <c r="B841" s="33"/>
      <c r="C841" s="34"/>
      <c r="D841" s="33"/>
      <c r="E841" s="18"/>
      <c r="F841" s="16"/>
      <c r="G841" s="16"/>
      <c r="H841" s="16"/>
      <c r="I841" s="16"/>
      <c r="J841" s="16"/>
      <c r="K841" s="16"/>
      <c r="L841" s="37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38"/>
      <c r="Z841" s="34"/>
      <c r="AA841" s="18"/>
    </row>
    <row r="842" ht="21.0" customHeight="1">
      <c r="A842" s="18"/>
      <c r="B842" s="33"/>
      <c r="C842" s="34"/>
      <c r="D842" s="33"/>
      <c r="E842" s="18"/>
      <c r="F842" s="16"/>
      <c r="G842" s="16"/>
      <c r="H842" s="16"/>
      <c r="I842" s="16"/>
      <c r="J842" s="16"/>
      <c r="K842" s="16"/>
      <c r="L842" s="37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38"/>
      <c r="Z842" s="34"/>
      <c r="AA842" s="18"/>
    </row>
    <row r="843" ht="21.0" customHeight="1">
      <c r="A843" s="18"/>
      <c r="B843" s="33"/>
      <c r="C843" s="34"/>
      <c r="D843" s="33"/>
      <c r="E843" s="18"/>
      <c r="F843" s="16"/>
      <c r="G843" s="16"/>
      <c r="H843" s="16"/>
      <c r="I843" s="16"/>
      <c r="J843" s="16"/>
      <c r="K843" s="16"/>
      <c r="L843" s="37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38"/>
      <c r="Z843" s="34"/>
      <c r="AA843" s="18"/>
    </row>
    <row r="844" ht="21.0" customHeight="1">
      <c r="A844" s="18"/>
      <c r="B844" s="33"/>
      <c r="C844" s="34"/>
      <c r="D844" s="33"/>
      <c r="E844" s="18"/>
      <c r="F844" s="16"/>
      <c r="G844" s="16"/>
      <c r="H844" s="16"/>
      <c r="I844" s="16"/>
      <c r="J844" s="16"/>
      <c r="K844" s="16"/>
      <c r="L844" s="37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38"/>
      <c r="Z844" s="34"/>
      <c r="AA844" s="18"/>
    </row>
    <row r="845" ht="21.0" customHeight="1">
      <c r="A845" s="18"/>
      <c r="B845" s="33"/>
      <c r="C845" s="34"/>
      <c r="D845" s="33"/>
      <c r="E845" s="18"/>
      <c r="F845" s="16"/>
      <c r="G845" s="16"/>
      <c r="H845" s="16"/>
      <c r="I845" s="16"/>
      <c r="J845" s="16"/>
      <c r="K845" s="16"/>
      <c r="L845" s="37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38"/>
      <c r="Z845" s="34"/>
      <c r="AA845" s="18"/>
    </row>
    <row r="846" ht="21.0" customHeight="1">
      <c r="A846" s="18"/>
      <c r="B846" s="33"/>
      <c r="C846" s="34"/>
      <c r="D846" s="33"/>
      <c r="E846" s="18"/>
      <c r="F846" s="16"/>
      <c r="G846" s="16"/>
      <c r="H846" s="16"/>
      <c r="I846" s="16"/>
      <c r="J846" s="16"/>
      <c r="K846" s="16"/>
      <c r="L846" s="37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38"/>
      <c r="Z846" s="34"/>
      <c r="AA846" s="18"/>
    </row>
    <row r="847" ht="21.0" customHeight="1">
      <c r="A847" s="18"/>
      <c r="B847" s="33"/>
      <c r="C847" s="34"/>
      <c r="D847" s="33"/>
      <c r="E847" s="18"/>
      <c r="F847" s="16"/>
      <c r="G847" s="16"/>
      <c r="H847" s="16"/>
      <c r="I847" s="16"/>
      <c r="J847" s="16"/>
      <c r="K847" s="16"/>
      <c r="L847" s="37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38"/>
      <c r="Z847" s="34"/>
      <c r="AA847" s="18"/>
    </row>
    <row r="848" ht="21.0" customHeight="1">
      <c r="A848" s="18"/>
      <c r="B848" s="33"/>
      <c r="C848" s="34"/>
      <c r="D848" s="33"/>
      <c r="E848" s="18"/>
      <c r="F848" s="16"/>
      <c r="G848" s="16"/>
      <c r="H848" s="16"/>
      <c r="I848" s="16"/>
      <c r="J848" s="16"/>
      <c r="K848" s="16"/>
      <c r="L848" s="37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38"/>
      <c r="Z848" s="34"/>
      <c r="AA848" s="18"/>
    </row>
    <row r="849" ht="21.0" customHeight="1">
      <c r="A849" s="18"/>
      <c r="B849" s="33"/>
      <c r="C849" s="34"/>
      <c r="D849" s="33"/>
      <c r="E849" s="18"/>
      <c r="F849" s="16"/>
      <c r="G849" s="16"/>
      <c r="H849" s="16"/>
      <c r="I849" s="16"/>
      <c r="J849" s="16"/>
      <c r="K849" s="16"/>
      <c r="L849" s="37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38"/>
      <c r="Z849" s="34"/>
      <c r="AA849" s="18"/>
    </row>
    <row r="850" ht="21.0" customHeight="1">
      <c r="A850" s="18"/>
      <c r="B850" s="33"/>
      <c r="C850" s="34"/>
      <c r="D850" s="33"/>
      <c r="E850" s="18"/>
      <c r="F850" s="16"/>
      <c r="G850" s="16"/>
      <c r="H850" s="16"/>
      <c r="I850" s="16"/>
      <c r="J850" s="16"/>
      <c r="K850" s="16"/>
      <c r="L850" s="37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38"/>
      <c r="Z850" s="34"/>
      <c r="AA850" s="18"/>
    </row>
    <row r="851" ht="21.0" customHeight="1">
      <c r="A851" s="18"/>
      <c r="B851" s="33"/>
      <c r="C851" s="34"/>
      <c r="D851" s="33"/>
      <c r="E851" s="18"/>
      <c r="F851" s="16"/>
      <c r="G851" s="16"/>
      <c r="H851" s="16"/>
      <c r="I851" s="16"/>
      <c r="J851" s="16"/>
      <c r="K851" s="16"/>
      <c r="L851" s="37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38"/>
      <c r="Z851" s="34"/>
      <c r="AA851" s="18"/>
    </row>
    <row r="852" ht="21.0" customHeight="1">
      <c r="A852" s="18"/>
      <c r="B852" s="33"/>
      <c r="C852" s="34"/>
      <c r="D852" s="33"/>
      <c r="E852" s="18"/>
      <c r="F852" s="16"/>
      <c r="G852" s="16"/>
      <c r="H852" s="16"/>
      <c r="I852" s="16"/>
      <c r="J852" s="16"/>
      <c r="K852" s="16"/>
      <c r="L852" s="37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38"/>
      <c r="Z852" s="34"/>
      <c r="AA852" s="18"/>
    </row>
    <row r="853" ht="21.0" customHeight="1">
      <c r="A853" s="18"/>
      <c r="B853" s="33"/>
      <c r="C853" s="34"/>
      <c r="D853" s="33"/>
      <c r="E853" s="18"/>
      <c r="F853" s="16"/>
      <c r="G853" s="16"/>
      <c r="H853" s="16"/>
      <c r="I853" s="16"/>
      <c r="J853" s="16"/>
      <c r="K853" s="16"/>
      <c r="L853" s="37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38"/>
      <c r="Z853" s="34"/>
      <c r="AA853" s="18"/>
    </row>
    <row r="854" ht="21.0" customHeight="1">
      <c r="A854" s="18"/>
      <c r="B854" s="33"/>
      <c r="C854" s="34"/>
      <c r="D854" s="33"/>
      <c r="E854" s="18"/>
      <c r="F854" s="16"/>
      <c r="G854" s="16"/>
      <c r="H854" s="16"/>
      <c r="I854" s="16"/>
      <c r="J854" s="16"/>
      <c r="K854" s="16"/>
      <c r="L854" s="37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38"/>
      <c r="Z854" s="34"/>
      <c r="AA854" s="18"/>
    </row>
    <row r="855" ht="21.0" customHeight="1">
      <c r="A855" s="18"/>
      <c r="B855" s="33"/>
      <c r="C855" s="34"/>
      <c r="D855" s="33"/>
      <c r="E855" s="18"/>
      <c r="F855" s="16"/>
      <c r="G855" s="16"/>
      <c r="H855" s="16"/>
      <c r="I855" s="16"/>
      <c r="J855" s="16"/>
      <c r="K855" s="16"/>
      <c r="L855" s="37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38"/>
      <c r="Z855" s="34"/>
      <c r="AA855" s="18"/>
    </row>
    <row r="856" ht="21.0" customHeight="1">
      <c r="A856" s="18"/>
      <c r="B856" s="33"/>
      <c r="C856" s="34"/>
      <c r="D856" s="33"/>
      <c r="E856" s="18"/>
      <c r="F856" s="16"/>
      <c r="G856" s="16"/>
      <c r="H856" s="16"/>
      <c r="I856" s="16"/>
      <c r="J856" s="16"/>
      <c r="K856" s="16"/>
      <c r="L856" s="37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38"/>
      <c r="Z856" s="34"/>
      <c r="AA856" s="18"/>
    </row>
    <row r="857" ht="21.0" customHeight="1">
      <c r="A857" s="18"/>
      <c r="B857" s="33"/>
      <c r="C857" s="34"/>
      <c r="D857" s="33"/>
      <c r="E857" s="18"/>
      <c r="F857" s="16"/>
      <c r="G857" s="16"/>
      <c r="H857" s="16"/>
      <c r="I857" s="16"/>
      <c r="J857" s="16"/>
      <c r="K857" s="16"/>
      <c r="L857" s="37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38"/>
      <c r="Z857" s="34"/>
      <c r="AA857" s="18"/>
    </row>
    <row r="858" ht="21.0" customHeight="1">
      <c r="A858" s="18"/>
      <c r="B858" s="33"/>
      <c r="C858" s="34"/>
      <c r="D858" s="33"/>
      <c r="E858" s="18"/>
      <c r="F858" s="16"/>
      <c r="G858" s="16"/>
      <c r="H858" s="16"/>
      <c r="I858" s="16"/>
      <c r="J858" s="16"/>
      <c r="K858" s="16"/>
      <c r="L858" s="37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38"/>
      <c r="Z858" s="34"/>
      <c r="AA858" s="18"/>
    </row>
    <row r="859" ht="21.0" customHeight="1">
      <c r="A859" s="18"/>
      <c r="B859" s="33"/>
      <c r="C859" s="34"/>
      <c r="D859" s="33"/>
      <c r="E859" s="18"/>
      <c r="F859" s="16"/>
      <c r="G859" s="16"/>
      <c r="H859" s="16"/>
      <c r="I859" s="16"/>
      <c r="J859" s="16"/>
      <c r="K859" s="16"/>
      <c r="L859" s="37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38"/>
      <c r="Z859" s="34"/>
      <c r="AA859" s="18"/>
    </row>
    <row r="860" ht="21.0" customHeight="1">
      <c r="A860" s="18"/>
      <c r="B860" s="33"/>
      <c r="C860" s="34"/>
      <c r="D860" s="33"/>
      <c r="E860" s="18"/>
      <c r="F860" s="16"/>
      <c r="G860" s="16"/>
      <c r="H860" s="16"/>
      <c r="I860" s="16"/>
      <c r="J860" s="16"/>
      <c r="K860" s="16"/>
      <c r="L860" s="37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38"/>
      <c r="Z860" s="34"/>
      <c r="AA860" s="18"/>
    </row>
    <row r="861" ht="21.0" customHeight="1">
      <c r="A861" s="18"/>
      <c r="B861" s="33"/>
      <c r="C861" s="34"/>
      <c r="D861" s="33"/>
      <c r="E861" s="18"/>
      <c r="F861" s="16"/>
      <c r="G861" s="16"/>
      <c r="H861" s="16"/>
      <c r="I861" s="16"/>
      <c r="J861" s="16"/>
      <c r="K861" s="16"/>
      <c r="L861" s="37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38"/>
      <c r="Z861" s="34"/>
      <c r="AA861" s="18"/>
    </row>
    <row r="862" ht="21.0" customHeight="1">
      <c r="A862" s="18"/>
      <c r="B862" s="33"/>
      <c r="C862" s="34"/>
      <c r="D862" s="33"/>
      <c r="E862" s="18"/>
      <c r="F862" s="16"/>
      <c r="G862" s="16"/>
      <c r="H862" s="16"/>
      <c r="I862" s="16"/>
      <c r="J862" s="16"/>
      <c r="K862" s="16"/>
      <c r="L862" s="37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38"/>
      <c r="Z862" s="34"/>
      <c r="AA862" s="18"/>
    </row>
    <row r="863" ht="21.0" customHeight="1">
      <c r="A863" s="18"/>
      <c r="B863" s="33"/>
      <c r="C863" s="34"/>
      <c r="D863" s="33"/>
      <c r="E863" s="18"/>
      <c r="F863" s="16"/>
      <c r="G863" s="16"/>
      <c r="H863" s="16"/>
      <c r="I863" s="16"/>
      <c r="J863" s="16"/>
      <c r="K863" s="16"/>
      <c r="L863" s="37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38"/>
      <c r="Z863" s="34"/>
      <c r="AA863" s="18"/>
    </row>
    <row r="864" ht="21.0" customHeight="1">
      <c r="A864" s="18"/>
      <c r="B864" s="33"/>
      <c r="C864" s="34"/>
      <c r="D864" s="33"/>
      <c r="E864" s="18"/>
      <c r="F864" s="16"/>
      <c r="G864" s="16"/>
      <c r="H864" s="16"/>
      <c r="I864" s="16"/>
      <c r="J864" s="16"/>
      <c r="K864" s="16"/>
      <c r="L864" s="37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38"/>
      <c r="Z864" s="34"/>
      <c r="AA864" s="18"/>
    </row>
    <row r="865" ht="21.0" customHeight="1">
      <c r="A865" s="18"/>
      <c r="B865" s="33"/>
      <c r="C865" s="34"/>
      <c r="D865" s="33"/>
      <c r="E865" s="18"/>
      <c r="F865" s="16"/>
      <c r="G865" s="16"/>
      <c r="H865" s="16"/>
      <c r="I865" s="16"/>
      <c r="J865" s="16"/>
      <c r="K865" s="16"/>
      <c r="L865" s="37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38"/>
      <c r="Z865" s="34"/>
      <c r="AA865" s="18"/>
    </row>
    <row r="866" ht="21.0" customHeight="1">
      <c r="A866" s="18"/>
      <c r="B866" s="33"/>
      <c r="C866" s="34"/>
      <c r="D866" s="33"/>
      <c r="E866" s="18"/>
      <c r="F866" s="16"/>
      <c r="G866" s="16"/>
      <c r="H866" s="16"/>
      <c r="I866" s="16"/>
      <c r="J866" s="16"/>
      <c r="K866" s="16"/>
      <c r="L866" s="37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38"/>
      <c r="Z866" s="34"/>
      <c r="AA866" s="18"/>
    </row>
    <row r="867" ht="21.0" customHeight="1">
      <c r="A867" s="18"/>
      <c r="B867" s="33"/>
      <c r="C867" s="34"/>
      <c r="D867" s="33"/>
      <c r="E867" s="18"/>
      <c r="F867" s="16"/>
      <c r="G867" s="16"/>
      <c r="H867" s="16"/>
      <c r="I867" s="16"/>
      <c r="J867" s="16"/>
      <c r="K867" s="16"/>
      <c r="L867" s="37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38"/>
      <c r="Z867" s="34"/>
      <c r="AA867" s="18"/>
    </row>
    <row r="868" ht="21.0" customHeight="1">
      <c r="A868" s="18"/>
      <c r="B868" s="33"/>
      <c r="C868" s="34"/>
      <c r="D868" s="33"/>
      <c r="E868" s="18"/>
      <c r="F868" s="16"/>
      <c r="G868" s="16"/>
      <c r="H868" s="16"/>
      <c r="I868" s="16"/>
      <c r="J868" s="16"/>
      <c r="K868" s="16"/>
      <c r="L868" s="37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38"/>
      <c r="Z868" s="34"/>
      <c r="AA868" s="18"/>
    </row>
    <row r="869" ht="21.0" customHeight="1">
      <c r="A869" s="18"/>
      <c r="B869" s="33"/>
      <c r="C869" s="34"/>
      <c r="D869" s="33"/>
      <c r="E869" s="18"/>
      <c r="F869" s="16"/>
      <c r="G869" s="16"/>
      <c r="H869" s="16"/>
      <c r="I869" s="16"/>
      <c r="J869" s="16"/>
      <c r="K869" s="16"/>
      <c r="L869" s="37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38"/>
      <c r="Z869" s="34"/>
      <c r="AA869" s="18"/>
    </row>
    <row r="870" ht="21.0" customHeight="1">
      <c r="A870" s="18"/>
      <c r="B870" s="33"/>
      <c r="C870" s="34"/>
      <c r="D870" s="33"/>
      <c r="E870" s="18"/>
      <c r="F870" s="16"/>
      <c r="G870" s="16"/>
      <c r="H870" s="16"/>
      <c r="I870" s="16"/>
      <c r="J870" s="16"/>
      <c r="K870" s="16"/>
      <c r="L870" s="37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38"/>
      <c r="Z870" s="34"/>
      <c r="AA870" s="18"/>
    </row>
    <row r="871" ht="21.0" customHeight="1">
      <c r="A871" s="18"/>
      <c r="B871" s="33"/>
      <c r="C871" s="34"/>
      <c r="D871" s="33"/>
      <c r="E871" s="18"/>
      <c r="F871" s="16"/>
      <c r="G871" s="16"/>
      <c r="H871" s="16"/>
      <c r="I871" s="16"/>
      <c r="J871" s="16"/>
      <c r="K871" s="16"/>
      <c r="L871" s="37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38"/>
      <c r="Z871" s="34"/>
      <c r="AA871" s="18"/>
    </row>
    <row r="872" ht="21.0" customHeight="1">
      <c r="A872" s="18"/>
      <c r="B872" s="33"/>
      <c r="C872" s="34"/>
      <c r="D872" s="33"/>
      <c r="E872" s="18"/>
      <c r="F872" s="16"/>
      <c r="G872" s="16"/>
      <c r="H872" s="16"/>
      <c r="I872" s="16"/>
      <c r="J872" s="16"/>
      <c r="K872" s="16"/>
      <c r="L872" s="37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38"/>
      <c r="Z872" s="34"/>
      <c r="AA872" s="18"/>
    </row>
    <row r="873" ht="21.0" customHeight="1">
      <c r="A873" s="18"/>
      <c r="B873" s="33"/>
      <c r="C873" s="34"/>
      <c r="D873" s="33"/>
      <c r="E873" s="18"/>
      <c r="F873" s="16"/>
      <c r="G873" s="16"/>
      <c r="H873" s="16"/>
      <c r="I873" s="16"/>
      <c r="J873" s="16"/>
      <c r="K873" s="16"/>
      <c r="L873" s="37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38"/>
      <c r="Z873" s="34"/>
      <c r="AA873" s="18"/>
    </row>
    <row r="874" ht="21.0" customHeight="1">
      <c r="A874" s="18"/>
      <c r="B874" s="33"/>
      <c r="C874" s="34"/>
      <c r="D874" s="33"/>
      <c r="E874" s="18"/>
      <c r="F874" s="16"/>
      <c r="G874" s="16"/>
      <c r="H874" s="16"/>
      <c r="I874" s="16"/>
      <c r="J874" s="16"/>
      <c r="K874" s="16"/>
      <c r="L874" s="37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38"/>
      <c r="Z874" s="34"/>
      <c r="AA874" s="18"/>
    </row>
    <row r="875" ht="21.0" customHeight="1">
      <c r="A875" s="18"/>
      <c r="B875" s="33"/>
      <c r="C875" s="34"/>
      <c r="D875" s="33"/>
      <c r="E875" s="18"/>
      <c r="F875" s="16"/>
      <c r="G875" s="16"/>
      <c r="H875" s="16"/>
      <c r="I875" s="16"/>
      <c r="J875" s="16"/>
      <c r="K875" s="16"/>
      <c r="L875" s="37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38"/>
      <c r="Z875" s="34"/>
      <c r="AA875" s="18"/>
    </row>
    <row r="876" ht="21.0" customHeight="1">
      <c r="A876" s="18"/>
      <c r="B876" s="33"/>
      <c r="C876" s="34"/>
      <c r="D876" s="33"/>
      <c r="E876" s="18"/>
      <c r="F876" s="16"/>
      <c r="G876" s="16"/>
      <c r="H876" s="16"/>
      <c r="I876" s="16"/>
      <c r="J876" s="16"/>
      <c r="K876" s="16"/>
      <c r="L876" s="37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38"/>
      <c r="Z876" s="34"/>
      <c r="AA876" s="18"/>
    </row>
    <row r="877" ht="21.0" customHeight="1">
      <c r="A877" s="18"/>
      <c r="B877" s="33"/>
      <c r="C877" s="34"/>
      <c r="D877" s="33"/>
      <c r="E877" s="18"/>
      <c r="F877" s="16"/>
      <c r="G877" s="16"/>
      <c r="H877" s="16"/>
      <c r="I877" s="16"/>
      <c r="J877" s="16"/>
      <c r="K877" s="16"/>
      <c r="L877" s="37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38"/>
      <c r="Z877" s="34"/>
      <c r="AA877" s="18"/>
    </row>
    <row r="878" ht="21.0" customHeight="1">
      <c r="A878" s="18"/>
      <c r="B878" s="33"/>
      <c r="C878" s="34"/>
      <c r="D878" s="33"/>
      <c r="E878" s="18"/>
      <c r="F878" s="16"/>
      <c r="G878" s="16"/>
      <c r="H878" s="16"/>
      <c r="I878" s="16"/>
      <c r="J878" s="16"/>
      <c r="K878" s="16"/>
      <c r="L878" s="37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38"/>
      <c r="Z878" s="34"/>
      <c r="AA878" s="18"/>
    </row>
    <row r="879" ht="21.0" customHeight="1">
      <c r="A879" s="18"/>
      <c r="B879" s="33"/>
      <c r="C879" s="34"/>
      <c r="D879" s="33"/>
      <c r="E879" s="18"/>
      <c r="F879" s="16"/>
      <c r="G879" s="16"/>
      <c r="H879" s="16"/>
      <c r="I879" s="16"/>
      <c r="J879" s="16"/>
      <c r="K879" s="16"/>
      <c r="L879" s="37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38"/>
      <c r="Z879" s="34"/>
      <c r="AA879" s="18"/>
    </row>
    <row r="880" ht="21.0" customHeight="1">
      <c r="A880" s="18"/>
      <c r="B880" s="33"/>
      <c r="C880" s="34"/>
      <c r="D880" s="33"/>
      <c r="E880" s="18"/>
      <c r="F880" s="16"/>
      <c r="G880" s="16"/>
      <c r="H880" s="16"/>
      <c r="I880" s="16"/>
      <c r="J880" s="16"/>
      <c r="K880" s="16"/>
      <c r="L880" s="37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38"/>
      <c r="Z880" s="34"/>
      <c r="AA880" s="18"/>
    </row>
    <row r="881" ht="21.0" customHeight="1">
      <c r="A881" s="18"/>
      <c r="B881" s="33"/>
      <c r="C881" s="34"/>
      <c r="D881" s="33"/>
      <c r="E881" s="18"/>
      <c r="F881" s="16"/>
      <c r="G881" s="16"/>
      <c r="H881" s="16"/>
      <c r="I881" s="16"/>
      <c r="J881" s="16"/>
      <c r="K881" s="16"/>
      <c r="L881" s="37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38"/>
      <c r="Z881" s="34"/>
      <c r="AA881" s="18"/>
    </row>
    <row r="882" ht="21.0" customHeight="1">
      <c r="A882" s="18"/>
      <c r="B882" s="33"/>
      <c r="C882" s="34"/>
      <c r="D882" s="33"/>
      <c r="E882" s="18"/>
      <c r="F882" s="16"/>
      <c r="G882" s="16"/>
      <c r="H882" s="16"/>
      <c r="I882" s="16"/>
      <c r="J882" s="16"/>
      <c r="K882" s="16"/>
      <c r="L882" s="37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38"/>
      <c r="Z882" s="34"/>
      <c r="AA882" s="18"/>
    </row>
    <row r="883" ht="21.0" customHeight="1">
      <c r="A883" s="18"/>
      <c r="B883" s="33"/>
      <c r="C883" s="34"/>
      <c r="D883" s="33"/>
      <c r="E883" s="18"/>
      <c r="F883" s="16"/>
      <c r="G883" s="16"/>
      <c r="H883" s="16"/>
      <c r="I883" s="16"/>
      <c r="J883" s="16"/>
      <c r="K883" s="16"/>
      <c r="L883" s="37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38"/>
      <c r="Z883" s="34"/>
      <c r="AA883" s="18"/>
    </row>
    <row r="884" ht="21.0" customHeight="1">
      <c r="A884" s="18"/>
      <c r="B884" s="33"/>
      <c r="C884" s="34"/>
      <c r="D884" s="33"/>
      <c r="E884" s="18"/>
      <c r="F884" s="16"/>
      <c r="G884" s="16"/>
      <c r="H884" s="16"/>
      <c r="I884" s="16"/>
      <c r="J884" s="16"/>
      <c r="K884" s="16"/>
      <c r="L884" s="37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38"/>
      <c r="Z884" s="34"/>
      <c r="AA884" s="18"/>
    </row>
    <row r="885" ht="21.0" customHeight="1">
      <c r="A885" s="18"/>
      <c r="B885" s="33"/>
      <c r="C885" s="34"/>
      <c r="D885" s="33"/>
      <c r="E885" s="18"/>
      <c r="F885" s="16"/>
      <c r="G885" s="16"/>
      <c r="H885" s="16"/>
      <c r="I885" s="16"/>
      <c r="J885" s="16"/>
      <c r="K885" s="16"/>
      <c r="L885" s="37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38"/>
      <c r="Z885" s="34"/>
      <c r="AA885" s="18"/>
    </row>
    <row r="886" ht="21.0" customHeight="1">
      <c r="A886" s="18"/>
      <c r="B886" s="33"/>
      <c r="C886" s="34"/>
      <c r="D886" s="33"/>
      <c r="E886" s="18"/>
      <c r="F886" s="16"/>
      <c r="G886" s="16"/>
      <c r="H886" s="16"/>
      <c r="I886" s="16"/>
      <c r="J886" s="16"/>
      <c r="K886" s="16"/>
      <c r="L886" s="37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38"/>
      <c r="Z886" s="34"/>
      <c r="AA886" s="18"/>
    </row>
    <row r="887" ht="21.0" customHeight="1">
      <c r="A887" s="18"/>
      <c r="B887" s="33"/>
      <c r="C887" s="34"/>
      <c r="D887" s="33"/>
      <c r="E887" s="18"/>
      <c r="F887" s="16"/>
      <c r="G887" s="16"/>
      <c r="H887" s="16"/>
      <c r="I887" s="16"/>
      <c r="J887" s="16"/>
      <c r="K887" s="16"/>
      <c r="L887" s="37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38"/>
      <c r="Z887" s="34"/>
      <c r="AA887" s="18"/>
    </row>
    <row r="888" ht="21.0" customHeight="1">
      <c r="A888" s="18"/>
      <c r="B888" s="33"/>
      <c r="C888" s="34"/>
      <c r="D888" s="33"/>
      <c r="E888" s="18"/>
      <c r="F888" s="16"/>
      <c r="G888" s="16"/>
      <c r="H888" s="16"/>
      <c r="I888" s="16"/>
      <c r="J888" s="16"/>
      <c r="K888" s="16"/>
      <c r="L888" s="37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38"/>
      <c r="Z888" s="34"/>
      <c r="AA888" s="18"/>
    </row>
    <row r="889" ht="21.0" customHeight="1">
      <c r="A889" s="18"/>
      <c r="B889" s="33"/>
      <c r="C889" s="34"/>
      <c r="D889" s="33"/>
      <c r="E889" s="18"/>
      <c r="F889" s="16"/>
      <c r="G889" s="16"/>
      <c r="H889" s="16"/>
      <c r="I889" s="16"/>
      <c r="J889" s="16"/>
      <c r="K889" s="16"/>
      <c r="L889" s="37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38"/>
      <c r="Z889" s="34"/>
      <c r="AA889" s="18"/>
    </row>
    <row r="890" ht="21.0" customHeight="1">
      <c r="A890" s="18"/>
      <c r="B890" s="33"/>
      <c r="C890" s="34"/>
      <c r="D890" s="33"/>
      <c r="E890" s="18"/>
      <c r="F890" s="16"/>
      <c r="G890" s="16"/>
      <c r="H890" s="16"/>
      <c r="I890" s="16"/>
      <c r="J890" s="16"/>
      <c r="K890" s="16"/>
      <c r="L890" s="37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38"/>
      <c r="Z890" s="34"/>
      <c r="AA890" s="18"/>
    </row>
    <row r="891" ht="21.0" customHeight="1">
      <c r="A891" s="18"/>
      <c r="B891" s="33"/>
      <c r="C891" s="34"/>
      <c r="D891" s="33"/>
      <c r="E891" s="18"/>
      <c r="F891" s="16"/>
      <c r="G891" s="16"/>
      <c r="H891" s="16"/>
      <c r="I891" s="16"/>
      <c r="J891" s="16"/>
      <c r="K891" s="16"/>
      <c r="L891" s="37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38"/>
      <c r="Z891" s="34"/>
      <c r="AA891" s="18"/>
    </row>
    <row r="892" ht="21.0" customHeight="1">
      <c r="A892" s="18"/>
      <c r="B892" s="33"/>
      <c r="C892" s="34"/>
      <c r="D892" s="33"/>
      <c r="E892" s="18"/>
      <c r="F892" s="16"/>
      <c r="G892" s="16"/>
      <c r="H892" s="16"/>
      <c r="I892" s="16"/>
      <c r="J892" s="16"/>
      <c r="K892" s="16"/>
      <c r="L892" s="37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38"/>
      <c r="Z892" s="34"/>
      <c r="AA892" s="18"/>
    </row>
    <row r="893" ht="21.0" customHeight="1">
      <c r="A893" s="18"/>
      <c r="B893" s="33"/>
      <c r="C893" s="34"/>
      <c r="D893" s="33"/>
      <c r="E893" s="18"/>
      <c r="F893" s="16"/>
      <c r="G893" s="16"/>
      <c r="H893" s="16"/>
      <c r="I893" s="16"/>
      <c r="J893" s="16"/>
      <c r="K893" s="16"/>
      <c r="L893" s="37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38"/>
      <c r="Z893" s="34"/>
      <c r="AA893" s="18"/>
    </row>
    <row r="894" ht="21.0" customHeight="1">
      <c r="A894" s="18"/>
      <c r="B894" s="33"/>
      <c r="C894" s="34"/>
      <c r="D894" s="33"/>
      <c r="E894" s="18"/>
      <c r="F894" s="16"/>
      <c r="G894" s="16"/>
      <c r="H894" s="16"/>
      <c r="I894" s="16"/>
      <c r="J894" s="16"/>
      <c r="K894" s="16"/>
      <c r="L894" s="37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38"/>
      <c r="Z894" s="34"/>
      <c r="AA894" s="18"/>
    </row>
    <row r="895" ht="21.0" customHeight="1">
      <c r="A895" s="18"/>
      <c r="B895" s="33"/>
      <c r="C895" s="34"/>
      <c r="D895" s="33"/>
      <c r="E895" s="18"/>
      <c r="F895" s="16"/>
      <c r="G895" s="16"/>
      <c r="H895" s="16"/>
      <c r="I895" s="16"/>
      <c r="J895" s="16"/>
      <c r="K895" s="16"/>
      <c r="L895" s="37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38"/>
      <c r="Z895" s="34"/>
      <c r="AA895" s="18"/>
    </row>
    <row r="896" ht="21.0" customHeight="1">
      <c r="A896" s="18"/>
      <c r="B896" s="33"/>
      <c r="C896" s="34"/>
      <c r="D896" s="33"/>
      <c r="E896" s="18"/>
      <c r="F896" s="16"/>
      <c r="G896" s="16"/>
      <c r="H896" s="16"/>
      <c r="I896" s="16"/>
      <c r="J896" s="16"/>
      <c r="K896" s="16"/>
      <c r="L896" s="37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38"/>
      <c r="Z896" s="34"/>
      <c r="AA896" s="18"/>
    </row>
    <row r="897" ht="21.0" customHeight="1">
      <c r="A897" s="18"/>
      <c r="B897" s="33"/>
      <c r="C897" s="34"/>
      <c r="D897" s="33"/>
      <c r="E897" s="18"/>
      <c r="F897" s="16"/>
      <c r="G897" s="16"/>
      <c r="H897" s="16"/>
      <c r="I897" s="16"/>
      <c r="J897" s="16"/>
      <c r="K897" s="16"/>
      <c r="L897" s="37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38"/>
      <c r="Z897" s="34"/>
      <c r="AA897" s="18"/>
    </row>
    <row r="898" ht="21.0" customHeight="1">
      <c r="A898" s="18"/>
      <c r="B898" s="33"/>
      <c r="C898" s="34"/>
      <c r="D898" s="33"/>
      <c r="E898" s="18"/>
      <c r="F898" s="16"/>
      <c r="G898" s="16"/>
      <c r="H898" s="16"/>
      <c r="I898" s="16"/>
      <c r="J898" s="16"/>
      <c r="K898" s="16"/>
      <c r="L898" s="37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38"/>
      <c r="Z898" s="34"/>
      <c r="AA898" s="18"/>
    </row>
    <row r="899" ht="21.0" customHeight="1">
      <c r="A899" s="18"/>
      <c r="B899" s="33"/>
      <c r="C899" s="34"/>
      <c r="D899" s="33"/>
      <c r="E899" s="18"/>
      <c r="F899" s="16"/>
      <c r="G899" s="16"/>
      <c r="H899" s="16"/>
      <c r="I899" s="16"/>
      <c r="J899" s="16"/>
      <c r="K899" s="16"/>
      <c r="L899" s="37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38"/>
      <c r="Z899" s="34"/>
      <c r="AA899" s="18"/>
    </row>
    <row r="900" ht="21.0" customHeight="1">
      <c r="A900" s="18"/>
      <c r="B900" s="33"/>
      <c r="C900" s="34"/>
      <c r="D900" s="33"/>
      <c r="E900" s="18"/>
      <c r="F900" s="16"/>
      <c r="G900" s="16"/>
      <c r="H900" s="16"/>
      <c r="I900" s="16"/>
      <c r="J900" s="16"/>
      <c r="K900" s="16"/>
      <c r="L900" s="37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38"/>
      <c r="Z900" s="34"/>
      <c r="AA900" s="18"/>
    </row>
    <row r="901" ht="21.0" customHeight="1">
      <c r="A901" s="18"/>
      <c r="B901" s="33"/>
      <c r="C901" s="34"/>
      <c r="D901" s="33"/>
      <c r="E901" s="18"/>
      <c r="F901" s="16"/>
      <c r="G901" s="16"/>
      <c r="H901" s="16"/>
      <c r="I901" s="16"/>
      <c r="J901" s="16"/>
      <c r="K901" s="16"/>
      <c r="L901" s="37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38"/>
      <c r="Z901" s="34"/>
      <c r="AA901" s="18"/>
    </row>
    <row r="902" ht="21.0" customHeight="1">
      <c r="A902" s="18"/>
      <c r="B902" s="33"/>
      <c r="C902" s="34"/>
      <c r="D902" s="33"/>
      <c r="E902" s="18"/>
      <c r="F902" s="16"/>
      <c r="G902" s="16"/>
      <c r="H902" s="16"/>
      <c r="I902" s="16"/>
      <c r="J902" s="16"/>
      <c r="K902" s="16"/>
      <c r="L902" s="37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38"/>
      <c r="Z902" s="34"/>
      <c r="AA902" s="18"/>
    </row>
    <row r="903" ht="21.0" customHeight="1">
      <c r="A903" s="18"/>
      <c r="B903" s="33"/>
      <c r="C903" s="34"/>
      <c r="D903" s="33"/>
      <c r="E903" s="18"/>
      <c r="F903" s="16"/>
      <c r="G903" s="16"/>
      <c r="H903" s="16"/>
      <c r="I903" s="16"/>
      <c r="J903" s="16"/>
      <c r="K903" s="16"/>
      <c r="L903" s="37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38"/>
      <c r="Z903" s="34"/>
      <c r="AA903" s="18"/>
    </row>
    <row r="904" ht="21.0" customHeight="1">
      <c r="A904" s="18"/>
      <c r="B904" s="33"/>
      <c r="C904" s="34"/>
      <c r="D904" s="33"/>
      <c r="E904" s="18"/>
      <c r="F904" s="16"/>
      <c r="G904" s="16"/>
      <c r="H904" s="16"/>
      <c r="I904" s="16"/>
      <c r="J904" s="16"/>
      <c r="K904" s="16"/>
      <c r="L904" s="37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38"/>
      <c r="Z904" s="34"/>
      <c r="AA904" s="18"/>
    </row>
    <row r="905" ht="21.0" customHeight="1">
      <c r="A905" s="18"/>
      <c r="B905" s="33"/>
      <c r="C905" s="34"/>
      <c r="D905" s="33"/>
      <c r="E905" s="18"/>
      <c r="F905" s="16"/>
      <c r="G905" s="16"/>
      <c r="H905" s="16"/>
      <c r="I905" s="16"/>
      <c r="J905" s="16"/>
      <c r="K905" s="16"/>
      <c r="L905" s="37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38"/>
      <c r="Z905" s="34"/>
      <c r="AA905" s="18"/>
    </row>
    <row r="906" ht="21.0" customHeight="1">
      <c r="A906" s="18"/>
      <c r="B906" s="33"/>
      <c r="C906" s="34"/>
      <c r="D906" s="33"/>
      <c r="E906" s="18"/>
      <c r="F906" s="16"/>
      <c r="G906" s="16"/>
      <c r="H906" s="16"/>
      <c r="I906" s="16"/>
      <c r="J906" s="16"/>
      <c r="K906" s="16"/>
      <c r="L906" s="37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38"/>
      <c r="Z906" s="34"/>
      <c r="AA906" s="18"/>
    </row>
    <row r="907" ht="21.0" customHeight="1">
      <c r="A907" s="18"/>
      <c r="B907" s="33"/>
      <c r="C907" s="34"/>
      <c r="D907" s="33"/>
      <c r="E907" s="18"/>
      <c r="F907" s="16"/>
      <c r="G907" s="16"/>
      <c r="H907" s="16"/>
      <c r="I907" s="16"/>
      <c r="J907" s="16"/>
      <c r="K907" s="16"/>
      <c r="L907" s="37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38"/>
      <c r="Z907" s="34"/>
      <c r="AA907" s="18"/>
    </row>
    <row r="908" ht="21.0" customHeight="1">
      <c r="A908" s="18"/>
      <c r="B908" s="33"/>
      <c r="C908" s="34"/>
      <c r="D908" s="33"/>
      <c r="E908" s="18"/>
      <c r="F908" s="16"/>
      <c r="G908" s="16"/>
      <c r="H908" s="16"/>
      <c r="I908" s="16"/>
      <c r="J908" s="16"/>
      <c r="K908" s="16"/>
      <c r="L908" s="37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38"/>
      <c r="Z908" s="34"/>
      <c r="AA908" s="18"/>
    </row>
    <row r="909" ht="21.0" customHeight="1">
      <c r="A909" s="18"/>
      <c r="B909" s="33"/>
      <c r="C909" s="34"/>
      <c r="D909" s="33"/>
      <c r="E909" s="18"/>
      <c r="F909" s="16"/>
      <c r="G909" s="16"/>
      <c r="H909" s="16"/>
      <c r="I909" s="16"/>
      <c r="J909" s="16"/>
      <c r="K909" s="16"/>
      <c r="L909" s="37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38"/>
      <c r="Z909" s="34"/>
      <c r="AA909" s="18"/>
    </row>
    <row r="910" ht="21.0" customHeight="1">
      <c r="A910" s="18"/>
      <c r="B910" s="33"/>
      <c r="C910" s="34"/>
      <c r="D910" s="33"/>
      <c r="E910" s="18"/>
      <c r="F910" s="16"/>
      <c r="G910" s="16"/>
      <c r="H910" s="16"/>
      <c r="I910" s="16"/>
      <c r="J910" s="16"/>
      <c r="K910" s="16"/>
      <c r="L910" s="37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38"/>
      <c r="Z910" s="34"/>
      <c r="AA910" s="18"/>
    </row>
    <row r="911" ht="21.0" customHeight="1">
      <c r="A911" s="18"/>
      <c r="B911" s="33"/>
      <c r="C911" s="34"/>
      <c r="D911" s="33"/>
      <c r="E911" s="18"/>
      <c r="F911" s="16"/>
      <c r="G911" s="16"/>
      <c r="H911" s="16"/>
      <c r="I911" s="16"/>
      <c r="J911" s="16"/>
      <c r="K911" s="16"/>
      <c r="L911" s="37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38"/>
      <c r="Z911" s="34"/>
      <c r="AA911" s="18"/>
    </row>
    <row r="912" ht="21.0" customHeight="1">
      <c r="A912" s="18"/>
      <c r="B912" s="33"/>
      <c r="C912" s="34"/>
      <c r="D912" s="33"/>
      <c r="E912" s="18"/>
      <c r="F912" s="16"/>
      <c r="G912" s="16"/>
      <c r="H912" s="16"/>
      <c r="I912" s="16"/>
      <c r="J912" s="16"/>
      <c r="K912" s="16"/>
      <c r="L912" s="37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38"/>
      <c r="Z912" s="34"/>
      <c r="AA912" s="18"/>
    </row>
    <row r="913" ht="21.0" customHeight="1">
      <c r="A913" s="18"/>
      <c r="B913" s="33"/>
      <c r="C913" s="34"/>
      <c r="D913" s="33"/>
      <c r="E913" s="18"/>
      <c r="F913" s="16"/>
      <c r="G913" s="16"/>
      <c r="H913" s="16"/>
      <c r="I913" s="16"/>
      <c r="J913" s="16"/>
      <c r="K913" s="16"/>
      <c r="L913" s="37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38"/>
      <c r="Z913" s="34"/>
      <c r="AA913" s="18"/>
    </row>
    <row r="914" ht="21.0" customHeight="1">
      <c r="A914" s="18"/>
      <c r="B914" s="33"/>
      <c r="C914" s="34"/>
      <c r="D914" s="33"/>
      <c r="E914" s="18"/>
      <c r="F914" s="16"/>
      <c r="G914" s="16"/>
      <c r="H914" s="16"/>
      <c r="I914" s="16"/>
      <c r="J914" s="16"/>
      <c r="K914" s="16"/>
      <c r="L914" s="37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38"/>
      <c r="Z914" s="34"/>
      <c r="AA914" s="18"/>
    </row>
    <row r="915" ht="21.0" customHeight="1">
      <c r="A915" s="18"/>
      <c r="B915" s="33"/>
      <c r="C915" s="34"/>
      <c r="D915" s="33"/>
      <c r="E915" s="18"/>
      <c r="F915" s="16"/>
      <c r="G915" s="16"/>
      <c r="H915" s="16"/>
      <c r="I915" s="16"/>
      <c r="J915" s="16"/>
      <c r="K915" s="16"/>
      <c r="L915" s="37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38"/>
      <c r="Z915" s="34"/>
      <c r="AA915" s="18"/>
    </row>
    <row r="916" ht="21.0" customHeight="1">
      <c r="A916" s="18"/>
      <c r="B916" s="33"/>
      <c r="C916" s="34"/>
      <c r="D916" s="33"/>
      <c r="E916" s="18"/>
      <c r="F916" s="16"/>
      <c r="G916" s="16"/>
      <c r="H916" s="16"/>
      <c r="I916" s="16"/>
      <c r="J916" s="16"/>
      <c r="K916" s="16"/>
      <c r="L916" s="37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38"/>
      <c r="Z916" s="34"/>
      <c r="AA916" s="18"/>
    </row>
    <row r="917" ht="21.0" customHeight="1">
      <c r="A917" s="18"/>
      <c r="B917" s="33"/>
      <c r="C917" s="34"/>
      <c r="D917" s="33"/>
      <c r="E917" s="18"/>
      <c r="F917" s="16"/>
      <c r="G917" s="16"/>
      <c r="H917" s="16"/>
      <c r="I917" s="16"/>
      <c r="J917" s="16"/>
      <c r="K917" s="16"/>
      <c r="L917" s="37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38"/>
      <c r="Z917" s="34"/>
      <c r="AA917" s="18"/>
    </row>
    <row r="918" ht="21.0" customHeight="1">
      <c r="A918" s="18"/>
      <c r="B918" s="33"/>
      <c r="C918" s="34"/>
      <c r="D918" s="33"/>
      <c r="E918" s="18"/>
      <c r="F918" s="16"/>
      <c r="G918" s="16"/>
      <c r="H918" s="16"/>
      <c r="I918" s="16"/>
      <c r="J918" s="16"/>
      <c r="K918" s="16"/>
      <c r="L918" s="37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38"/>
      <c r="Z918" s="34"/>
      <c r="AA918" s="18"/>
    </row>
    <row r="919" ht="21.0" customHeight="1">
      <c r="A919" s="18"/>
      <c r="B919" s="33"/>
      <c r="C919" s="34"/>
      <c r="D919" s="33"/>
      <c r="E919" s="18"/>
      <c r="F919" s="16"/>
      <c r="G919" s="16"/>
      <c r="H919" s="16"/>
      <c r="I919" s="16"/>
      <c r="J919" s="16"/>
      <c r="K919" s="16"/>
      <c r="L919" s="37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38"/>
      <c r="Z919" s="34"/>
      <c r="AA919" s="18"/>
    </row>
    <row r="920" ht="21.0" customHeight="1">
      <c r="A920" s="18"/>
      <c r="B920" s="33"/>
      <c r="C920" s="34"/>
      <c r="D920" s="33"/>
      <c r="E920" s="18"/>
      <c r="F920" s="16"/>
      <c r="G920" s="16"/>
      <c r="H920" s="16"/>
      <c r="I920" s="16"/>
      <c r="J920" s="16"/>
      <c r="K920" s="16"/>
      <c r="L920" s="37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38"/>
      <c r="Z920" s="34"/>
      <c r="AA920" s="18"/>
    </row>
    <row r="921" ht="21.0" customHeight="1">
      <c r="A921" s="18"/>
      <c r="B921" s="33"/>
      <c r="C921" s="34"/>
      <c r="D921" s="33"/>
      <c r="E921" s="18"/>
      <c r="F921" s="16"/>
      <c r="G921" s="16"/>
      <c r="H921" s="16"/>
      <c r="I921" s="16"/>
      <c r="J921" s="16"/>
      <c r="K921" s="16"/>
      <c r="L921" s="37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38"/>
      <c r="Z921" s="34"/>
      <c r="AA921" s="18"/>
    </row>
    <row r="922" ht="21.0" customHeight="1">
      <c r="A922" s="18"/>
      <c r="B922" s="33"/>
      <c r="C922" s="34"/>
      <c r="D922" s="33"/>
      <c r="E922" s="18"/>
      <c r="F922" s="16"/>
      <c r="G922" s="16"/>
      <c r="H922" s="16"/>
      <c r="I922" s="16"/>
      <c r="J922" s="16"/>
      <c r="K922" s="16"/>
      <c r="L922" s="37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38"/>
      <c r="Z922" s="34"/>
      <c r="AA922" s="18"/>
    </row>
    <row r="923" ht="21.0" customHeight="1">
      <c r="A923" s="18"/>
      <c r="B923" s="33"/>
      <c r="C923" s="34"/>
      <c r="D923" s="33"/>
      <c r="E923" s="18"/>
      <c r="F923" s="16"/>
      <c r="G923" s="16"/>
      <c r="H923" s="16"/>
      <c r="I923" s="16"/>
      <c r="J923" s="16"/>
      <c r="K923" s="16"/>
      <c r="L923" s="37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38"/>
      <c r="Z923" s="34"/>
      <c r="AA923" s="18"/>
    </row>
    <row r="924" ht="21.0" customHeight="1">
      <c r="A924" s="18"/>
      <c r="B924" s="33"/>
      <c r="C924" s="34"/>
      <c r="D924" s="33"/>
      <c r="E924" s="18"/>
      <c r="F924" s="16"/>
      <c r="G924" s="16"/>
      <c r="H924" s="16"/>
      <c r="I924" s="16"/>
      <c r="J924" s="16"/>
      <c r="K924" s="16"/>
      <c r="L924" s="37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38"/>
      <c r="Z924" s="34"/>
      <c r="AA924" s="18"/>
    </row>
    <row r="925" ht="21.0" customHeight="1">
      <c r="A925" s="18"/>
      <c r="B925" s="33"/>
      <c r="C925" s="34"/>
      <c r="D925" s="33"/>
      <c r="E925" s="18"/>
      <c r="F925" s="16"/>
      <c r="G925" s="16"/>
      <c r="H925" s="16"/>
      <c r="I925" s="16"/>
      <c r="J925" s="16"/>
      <c r="K925" s="16"/>
      <c r="L925" s="37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38"/>
      <c r="Z925" s="34"/>
      <c r="AA925" s="18"/>
    </row>
    <row r="926" ht="21.0" customHeight="1">
      <c r="A926" s="18"/>
      <c r="B926" s="33"/>
      <c r="C926" s="34"/>
      <c r="D926" s="33"/>
      <c r="E926" s="18"/>
      <c r="F926" s="16"/>
      <c r="G926" s="16"/>
      <c r="H926" s="16"/>
      <c r="I926" s="16"/>
      <c r="J926" s="16"/>
      <c r="K926" s="16"/>
      <c r="L926" s="37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38"/>
      <c r="Z926" s="34"/>
      <c r="AA926" s="18"/>
    </row>
    <row r="927" ht="21.0" customHeight="1">
      <c r="A927" s="18"/>
      <c r="B927" s="33"/>
      <c r="C927" s="34"/>
      <c r="D927" s="33"/>
      <c r="E927" s="18"/>
      <c r="F927" s="16"/>
      <c r="G927" s="16"/>
      <c r="H927" s="16"/>
      <c r="I927" s="16"/>
      <c r="J927" s="16"/>
      <c r="K927" s="16"/>
      <c r="L927" s="37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38"/>
      <c r="Z927" s="34"/>
      <c r="AA927" s="18"/>
    </row>
    <row r="928" ht="21.0" customHeight="1">
      <c r="A928" s="18"/>
      <c r="B928" s="33"/>
      <c r="C928" s="34"/>
      <c r="D928" s="33"/>
      <c r="E928" s="18"/>
      <c r="F928" s="16"/>
      <c r="G928" s="16"/>
      <c r="H928" s="16"/>
      <c r="I928" s="16"/>
      <c r="J928" s="16"/>
      <c r="K928" s="16"/>
      <c r="L928" s="37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38"/>
      <c r="Z928" s="34"/>
      <c r="AA928" s="18"/>
    </row>
    <row r="929" ht="21.0" customHeight="1">
      <c r="A929" s="18"/>
      <c r="B929" s="33"/>
      <c r="C929" s="34"/>
      <c r="D929" s="33"/>
      <c r="E929" s="18"/>
      <c r="F929" s="16"/>
      <c r="G929" s="16"/>
      <c r="H929" s="16"/>
      <c r="I929" s="16"/>
      <c r="J929" s="16"/>
      <c r="K929" s="16"/>
      <c r="L929" s="37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38"/>
      <c r="Z929" s="34"/>
      <c r="AA929" s="18"/>
    </row>
    <row r="930" ht="21.0" customHeight="1">
      <c r="A930" s="18"/>
      <c r="B930" s="33"/>
      <c r="C930" s="34"/>
      <c r="D930" s="33"/>
      <c r="E930" s="18"/>
      <c r="F930" s="16"/>
      <c r="G930" s="16"/>
      <c r="H930" s="16"/>
      <c r="I930" s="16"/>
      <c r="J930" s="16"/>
      <c r="K930" s="16"/>
      <c r="L930" s="37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38"/>
      <c r="Z930" s="34"/>
      <c r="AA930" s="18"/>
    </row>
    <row r="931" ht="21.0" customHeight="1">
      <c r="A931" s="18"/>
      <c r="B931" s="33"/>
      <c r="C931" s="34"/>
      <c r="D931" s="33"/>
      <c r="E931" s="18"/>
      <c r="F931" s="16"/>
      <c r="G931" s="16"/>
      <c r="H931" s="16"/>
      <c r="I931" s="16"/>
      <c r="J931" s="16"/>
      <c r="K931" s="16"/>
      <c r="L931" s="37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38"/>
      <c r="Z931" s="34"/>
      <c r="AA931" s="18"/>
    </row>
    <row r="932" ht="21.0" customHeight="1">
      <c r="A932" s="18"/>
      <c r="B932" s="33"/>
      <c r="C932" s="34"/>
      <c r="D932" s="33"/>
      <c r="E932" s="18"/>
      <c r="F932" s="16"/>
      <c r="G932" s="16"/>
      <c r="H932" s="16"/>
      <c r="I932" s="16"/>
      <c r="J932" s="16"/>
      <c r="K932" s="16"/>
      <c r="L932" s="37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38"/>
      <c r="Z932" s="34"/>
      <c r="AA932" s="18"/>
    </row>
    <row r="933" ht="21.0" customHeight="1">
      <c r="A933" s="18"/>
      <c r="B933" s="33"/>
      <c r="C933" s="34"/>
      <c r="D933" s="33"/>
      <c r="E933" s="18"/>
      <c r="F933" s="16"/>
      <c r="G933" s="16"/>
      <c r="H933" s="16"/>
      <c r="I933" s="16"/>
      <c r="J933" s="16"/>
      <c r="K933" s="16"/>
      <c r="L933" s="37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38"/>
      <c r="Z933" s="34"/>
      <c r="AA933" s="18"/>
    </row>
    <row r="934" ht="21.0" customHeight="1">
      <c r="A934" s="18"/>
      <c r="B934" s="33"/>
      <c r="C934" s="34"/>
      <c r="D934" s="33"/>
      <c r="E934" s="18"/>
      <c r="F934" s="16"/>
      <c r="G934" s="16"/>
      <c r="H934" s="16"/>
      <c r="I934" s="16"/>
      <c r="J934" s="16"/>
      <c r="K934" s="16"/>
      <c r="L934" s="37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38"/>
      <c r="Z934" s="34"/>
      <c r="AA934" s="18"/>
    </row>
    <row r="935" ht="21.0" customHeight="1">
      <c r="A935" s="18"/>
      <c r="B935" s="33"/>
      <c r="C935" s="34"/>
      <c r="D935" s="33"/>
      <c r="E935" s="18"/>
      <c r="F935" s="16"/>
      <c r="G935" s="16"/>
      <c r="H935" s="16"/>
      <c r="I935" s="16"/>
      <c r="J935" s="16"/>
      <c r="K935" s="16"/>
      <c r="L935" s="37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38"/>
      <c r="Z935" s="34"/>
      <c r="AA935" s="18"/>
    </row>
    <row r="936" ht="21.0" customHeight="1">
      <c r="A936" s="18"/>
      <c r="B936" s="33"/>
      <c r="C936" s="34"/>
      <c r="D936" s="33"/>
      <c r="E936" s="18"/>
      <c r="F936" s="16"/>
      <c r="G936" s="16"/>
      <c r="H936" s="16"/>
      <c r="I936" s="16"/>
      <c r="J936" s="16"/>
      <c r="K936" s="16"/>
      <c r="L936" s="37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38"/>
      <c r="Z936" s="34"/>
      <c r="AA936" s="18"/>
    </row>
    <row r="937" ht="21.0" customHeight="1">
      <c r="A937" s="18"/>
      <c r="B937" s="33"/>
      <c r="C937" s="34"/>
      <c r="D937" s="33"/>
      <c r="E937" s="18"/>
      <c r="F937" s="16"/>
      <c r="G937" s="16"/>
      <c r="H937" s="16"/>
      <c r="I937" s="16"/>
      <c r="J937" s="16"/>
      <c r="K937" s="16"/>
      <c r="L937" s="37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38"/>
      <c r="Z937" s="34"/>
      <c r="AA937" s="18"/>
    </row>
    <row r="938" ht="21.0" customHeight="1">
      <c r="A938" s="18"/>
      <c r="B938" s="33"/>
      <c r="C938" s="34"/>
      <c r="D938" s="33"/>
      <c r="E938" s="18"/>
      <c r="F938" s="16"/>
      <c r="G938" s="16"/>
      <c r="H938" s="16"/>
      <c r="I938" s="16"/>
      <c r="J938" s="16"/>
      <c r="K938" s="16"/>
      <c r="L938" s="37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38"/>
      <c r="Z938" s="34"/>
      <c r="AA938" s="18"/>
    </row>
    <row r="939" ht="21.0" customHeight="1">
      <c r="A939" s="18"/>
      <c r="B939" s="33"/>
      <c r="C939" s="34"/>
      <c r="D939" s="33"/>
      <c r="E939" s="18"/>
      <c r="F939" s="16"/>
      <c r="G939" s="16"/>
      <c r="H939" s="16"/>
      <c r="I939" s="16"/>
      <c r="J939" s="16"/>
      <c r="K939" s="16"/>
      <c r="L939" s="37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38"/>
      <c r="Z939" s="34"/>
      <c r="AA939" s="18"/>
    </row>
    <row r="940" ht="21.0" customHeight="1">
      <c r="A940" s="18"/>
      <c r="B940" s="33"/>
      <c r="C940" s="34"/>
      <c r="D940" s="33"/>
      <c r="E940" s="18"/>
      <c r="F940" s="16"/>
      <c r="G940" s="16"/>
      <c r="H940" s="16"/>
      <c r="I940" s="16"/>
      <c r="J940" s="16"/>
      <c r="K940" s="16"/>
      <c r="L940" s="37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38"/>
      <c r="Z940" s="34"/>
      <c r="AA940" s="18"/>
    </row>
    <row r="941" ht="21.0" customHeight="1">
      <c r="A941" s="18"/>
      <c r="B941" s="33"/>
      <c r="C941" s="34"/>
      <c r="D941" s="33"/>
      <c r="E941" s="18"/>
      <c r="F941" s="16"/>
      <c r="G941" s="16"/>
      <c r="H941" s="16"/>
      <c r="I941" s="16"/>
      <c r="J941" s="16"/>
      <c r="K941" s="16"/>
      <c r="L941" s="37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38"/>
      <c r="Z941" s="34"/>
      <c r="AA941" s="18"/>
    </row>
    <row r="942" ht="21.0" customHeight="1">
      <c r="A942" s="18"/>
      <c r="B942" s="33"/>
      <c r="C942" s="34"/>
      <c r="D942" s="33"/>
      <c r="E942" s="18"/>
      <c r="F942" s="16"/>
      <c r="G942" s="16"/>
      <c r="H942" s="16"/>
      <c r="I942" s="16"/>
      <c r="J942" s="16"/>
      <c r="K942" s="16"/>
      <c r="L942" s="37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38"/>
      <c r="Z942" s="34"/>
      <c r="AA942" s="18"/>
    </row>
    <row r="943" ht="21.0" customHeight="1">
      <c r="A943" s="18"/>
      <c r="B943" s="33"/>
      <c r="C943" s="34"/>
      <c r="D943" s="33"/>
      <c r="E943" s="18"/>
      <c r="F943" s="16"/>
      <c r="G943" s="16"/>
      <c r="H943" s="16"/>
      <c r="I943" s="16"/>
      <c r="J943" s="16"/>
      <c r="K943" s="16"/>
      <c r="L943" s="37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38"/>
      <c r="Z943" s="34"/>
      <c r="AA943" s="18"/>
    </row>
    <row r="944" ht="21.0" customHeight="1">
      <c r="A944" s="18"/>
      <c r="B944" s="33"/>
      <c r="C944" s="34"/>
      <c r="D944" s="33"/>
      <c r="E944" s="18"/>
      <c r="F944" s="16"/>
      <c r="G944" s="16"/>
      <c r="H944" s="16"/>
      <c r="I944" s="16"/>
      <c r="J944" s="16"/>
      <c r="K944" s="16"/>
      <c r="L944" s="37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38"/>
      <c r="Z944" s="34"/>
      <c r="AA944" s="18"/>
    </row>
    <row r="945" ht="21.0" customHeight="1">
      <c r="A945" s="18"/>
      <c r="B945" s="33"/>
      <c r="C945" s="34"/>
      <c r="D945" s="33"/>
      <c r="E945" s="18"/>
      <c r="F945" s="16"/>
      <c r="G945" s="16"/>
      <c r="H945" s="16"/>
      <c r="I945" s="16"/>
      <c r="J945" s="16"/>
      <c r="K945" s="16"/>
      <c r="L945" s="37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38"/>
      <c r="Z945" s="34"/>
      <c r="AA945" s="18"/>
    </row>
    <row r="946" ht="21.0" customHeight="1">
      <c r="A946" s="18"/>
      <c r="B946" s="33"/>
      <c r="C946" s="34"/>
      <c r="D946" s="33"/>
      <c r="E946" s="18"/>
      <c r="F946" s="16"/>
      <c r="G946" s="16"/>
      <c r="H946" s="16"/>
      <c r="I946" s="16"/>
      <c r="J946" s="16"/>
      <c r="K946" s="16"/>
      <c r="L946" s="37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38"/>
      <c r="Z946" s="34"/>
      <c r="AA946" s="18"/>
    </row>
    <row r="947" ht="21.0" customHeight="1">
      <c r="A947" s="18"/>
      <c r="B947" s="33"/>
      <c r="C947" s="34"/>
      <c r="D947" s="33"/>
      <c r="E947" s="18"/>
      <c r="F947" s="16"/>
      <c r="G947" s="16"/>
      <c r="H947" s="16"/>
      <c r="I947" s="16"/>
      <c r="J947" s="16"/>
      <c r="K947" s="16"/>
      <c r="L947" s="37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38"/>
      <c r="Z947" s="34"/>
      <c r="AA947" s="18"/>
    </row>
    <row r="948" ht="21.0" customHeight="1">
      <c r="A948" s="18"/>
      <c r="B948" s="33"/>
      <c r="C948" s="34"/>
      <c r="D948" s="33"/>
      <c r="E948" s="18"/>
      <c r="F948" s="16"/>
      <c r="G948" s="16"/>
      <c r="H948" s="16"/>
      <c r="I948" s="16"/>
      <c r="J948" s="16"/>
      <c r="K948" s="16"/>
      <c r="L948" s="37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38"/>
      <c r="Z948" s="34"/>
      <c r="AA948" s="18"/>
    </row>
    <row r="949" ht="21.0" customHeight="1">
      <c r="A949" s="18"/>
      <c r="B949" s="33"/>
      <c r="C949" s="34"/>
      <c r="D949" s="33"/>
      <c r="E949" s="18"/>
      <c r="F949" s="16"/>
      <c r="G949" s="16"/>
      <c r="H949" s="16"/>
      <c r="I949" s="16"/>
      <c r="J949" s="16"/>
      <c r="K949" s="16"/>
      <c r="L949" s="37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38"/>
      <c r="Z949" s="34"/>
      <c r="AA949" s="18"/>
    </row>
    <row r="950" ht="21.0" customHeight="1">
      <c r="A950" s="18"/>
      <c r="B950" s="33"/>
      <c r="C950" s="34"/>
      <c r="D950" s="33"/>
      <c r="E950" s="18"/>
      <c r="F950" s="16"/>
      <c r="G950" s="16"/>
      <c r="H950" s="16"/>
      <c r="I950" s="16"/>
      <c r="J950" s="16"/>
      <c r="K950" s="16"/>
      <c r="L950" s="37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38"/>
      <c r="Z950" s="34"/>
      <c r="AA950" s="18"/>
    </row>
    <row r="951" ht="21.0" customHeight="1">
      <c r="A951" s="18"/>
      <c r="B951" s="33"/>
      <c r="C951" s="34"/>
      <c r="D951" s="33"/>
      <c r="E951" s="18"/>
      <c r="F951" s="16"/>
      <c r="G951" s="16"/>
      <c r="H951" s="16"/>
      <c r="I951" s="16"/>
      <c r="J951" s="16"/>
      <c r="K951" s="16"/>
      <c r="L951" s="37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38"/>
      <c r="Z951" s="34"/>
      <c r="AA951" s="18"/>
    </row>
    <row r="952" ht="21.0" customHeight="1">
      <c r="A952" s="18"/>
      <c r="B952" s="33"/>
      <c r="C952" s="34"/>
      <c r="D952" s="33"/>
      <c r="E952" s="18"/>
      <c r="F952" s="16"/>
      <c r="G952" s="16"/>
      <c r="H952" s="16"/>
      <c r="I952" s="16"/>
      <c r="J952" s="16"/>
      <c r="K952" s="16"/>
      <c r="L952" s="37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38"/>
      <c r="Z952" s="34"/>
      <c r="AA952" s="18"/>
    </row>
    <row r="953" ht="21.0" customHeight="1">
      <c r="A953" s="18"/>
      <c r="B953" s="33"/>
      <c r="C953" s="34"/>
      <c r="D953" s="33"/>
      <c r="E953" s="18"/>
      <c r="F953" s="16"/>
      <c r="G953" s="16"/>
      <c r="H953" s="16"/>
      <c r="I953" s="16"/>
      <c r="J953" s="16"/>
      <c r="K953" s="16"/>
      <c r="L953" s="37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38"/>
      <c r="Z953" s="34"/>
      <c r="AA953" s="18"/>
    </row>
    <row r="954" ht="21.0" customHeight="1">
      <c r="A954" s="18"/>
      <c r="B954" s="33"/>
      <c r="C954" s="34"/>
      <c r="D954" s="33"/>
      <c r="E954" s="18"/>
      <c r="F954" s="16"/>
      <c r="G954" s="16"/>
      <c r="H954" s="16"/>
      <c r="I954" s="16"/>
      <c r="J954" s="16"/>
      <c r="K954" s="16"/>
      <c r="L954" s="37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38"/>
      <c r="Z954" s="34"/>
      <c r="AA954" s="18"/>
    </row>
    <row r="955" ht="21.0" customHeight="1">
      <c r="A955" s="18"/>
      <c r="B955" s="33"/>
      <c r="C955" s="34"/>
      <c r="D955" s="33"/>
      <c r="E955" s="18"/>
      <c r="F955" s="16"/>
      <c r="G955" s="16"/>
      <c r="H955" s="16"/>
      <c r="I955" s="16"/>
      <c r="J955" s="16"/>
      <c r="K955" s="16"/>
      <c r="L955" s="37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38"/>
      <c r="Z955" s="34"/>
      <c r="AA955" s="18"/>
    </row>
    <row r="956" ht="21.0" customHeight="1">
      <c r="A956" s="18"/>
      <c r="B956" s="33"/>
      <c r="C956" s="34"/>
      <c r="D956" s="33"/>
      <c r="E956" s="18"/>
      <c r="F956" s="16"/>
      <c r="G956" s="16"/>
      <c r="H956" s="16"/>
      <c r="I956" s="16"/>
      <c r="J956" s="16"/>
      <c r="K956" s="16"/>
      <c r="L956" s="37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38"/>
      <c r="Z956" s="34"/>
      <c r="AA956" s="18"/>
    </row>
    <row r="957" ht="21.0" customHeight="1">
      <c r="A957" s="18"/>
      <c r="B957" s="33"/>
      <c r="C957" s="34"/>
      <c r="D957" s="33"/>
      <c r="E957" s="18"/>
      <c r="F957" s="16"/>
      <c r="G957" s="16"/>
      <c r="H957" s="16"/>
      <c r="I957" s="16"/>
      <c r="J957" s="16"/>
      <c r="K957" s="16"/>
      <c r="L957" s="37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38"/>
      <c r="Z957" s="34"/>
      <c r="AA957" s="18"/>
    </row>
    <row r="958" ht="21.0" customHeight="1">
      <c r="A958" s="18"/>
      <c r="B958" s="33"/>
      <c r="C958" s="34"/>
      <c r="D958" s="33"/>
      <c r="E958" s="18"/>
      <c r="F958" s="16"/>
      <c r="G958" s="16"/>
      <c r="H958" s="16"/>
      <c r="I958" s="16"/>
      <c r="J958" s="16"/>
      <c r="K958" s="16"/>
      <c r="L958" s="37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38"/>
      <c r="Z958" s="34"/>
      <c r="AA958" s="18"/>
    </row>
    <row r="959" ht="21.0" customHeight="1">
      <c r="A959" s="18"/>
      <c r="B959" s="33"/>
      <c r="C959" s="34"/>
      <c r="D959" s="33"/>
      <c r="E959" s="18"/>
      <c r="F959" s="16"/>
      <c r="G959" s="16"/>
      <c r="H959" s="16"/>
      <c r="I959" s="16"/>
      <c r="J959" s="16"/>
      <c r="K959" s="16"/>
      <c r="L959" s="37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38"/>
      <c r="Z959" s="34"/>
      <c r="AA959" s="18"/>
    </row>
    <row r="960" ht="21.0" customHeight="1">
      <c r="A960" s="18"/>
      <c r="B960" s="33"/>
      <c r="C960" s="34"/>
      <c r="D960" s="33"/>
      <c r="E960" s="18"/>
      <c r="F960" s="16"/>
      <c r="G960" s="16"/>
      <c r="H960" s="16"/>
      <c r="I960" s="16"/>
      <c r="J960" s="16"/>
      <c r="K960" s="16"/>
      <c r="L960" s="37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38"/>
      <c r="Z960" s="34"/>
      <c r="AA960" s="18"/>
    </row>
    <row r="961" ht="21.0" customHeight="1">
      <c r="A961" s="18"/>
      <c r="B961" s="33"/>
      <c r="C961" s="34"/>
      <c r="D961" s="33"/>
      <c r="E961" s="18"/>
      <c r="F961" s="16"/>
      <c r="G961" s="16"/>
      <c r="H961" s="16"/>
      <c r="I961" s="16"/>
      <c r="J961" s="16"/>
      <c r="K961" s="16"/>
      <c r="L961" s="37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38"/>
      <c r="Z961" s="34"/>
      <c r="AA961" s="18"/>
    </row>
    <row r="962" ht="21.0" customHeight="1">
      <c r="A962" s="18"/>
      <c r="B962" s="33"/>
      <c r="C962" s="34"/>
      <c r="D962" s="33"/>
      <c r="E962" s="18"/>
      <c r="F962" s="16"/>
      <c r="G962" s="16"/>
      <c r="H962" s="16"/>
      <c r="I962" s="16"/>
      <c r="J962" s="16"/>
      <c r="K962" s="16"/>
      <c r="L962" s="37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38"/>
      <c r="Z962" s="34"/>
      <c r="AA962" s="18"/>
    </row>
    <row r="963" ht="21.0" customHeight="1">
      <c r="A963" s="18"/>
      <c r="B963" s="33"/>
      <c r="C963" s="34"/>
      <c r="D963" s="33"/>
      <c r="E963" s="18"/>
      <c r="F963" s="16"/>
      <c r="G963" s="16"/>
      <c r="H963" s="16"/>
      <c r="I963" s="16"/>
      <c r="J963" s="16"/>
      <c r="K963" s="16"/>
      <c r="L963" s="37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38"/>
      <c r="Z963" s="34"/>
      <c r="AA963" s="18"/>
    </row>
    <row r="964" ht="21.0" customHeight="1">
      <c r="A964" s="18"/>
      <c r="B964" s="33"/>
      <c r="C964" s="34"/>
      <c r="D964" s="33"/>
      <c r="E964" s="18"/>
      <c r="F964" s="16"/>
      <c r="G964" s="16"/>
      <c r="H964" s="16"/>
      <c r="I964" s="16"/>
      <c r="J964" s="16"/>
      <c r="K964" s="16"/>
      <c r="L964" s="37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38"/>
      <c r="Z964" s="34"/>
      <c r="AA964" s="18"/>
    </row>
    <row r="965" ht="21.0" customHeight="1">
      <c r="A965" s="18"/>
      <c r="B965" s="33"/>
      <c r="C965" s="34"/>
      <c r="D965" s="33"/>
      <c r="E965" s="18"/>
      <c r="F965" s="16"/>
      <c r="G965" s="16"/>
      <c r="H965" s="16"/>
      <c r="I965" s="16"/>
      <c r="J965" s="16"/>
      <c r="K965" s="16"/>
      <c r="L965" s="37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38"/>
      <c r="Z965" s="34"/>
      <c r="AA965" s="18"/>
    </row>
    <row r="966" ht="21.0" customHeight="1">
      <c r="A966" s="18"/>
      <c r="B966" s="33"/>
      <c r="C966" s="34"/>
      <c r="D966" s="33"/>
      <c r="E966" s="18"/>
      <c r="F966" s="16"/>
      <c r="G966" s="16"/>
      <c r="H966" s="16"/>
      <c r="I966" s="16"/>
      <c r="J966" s="16"/>
      <c r="K966" s="16"/>
      <c r="L966" s="37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38"/>
      <c r="Z966" s="34"/>
      <c r="AA966" s="18"/>
    </row>
    <row r="967" ht="21.0" customHeight="1">
      <c r="A967" s="18"/>
      <c r="B967" s="33"/>
      <c r="C967" s="34"/>
      <c r="D967" s="33"/>
      <c r="E967" s="18"/>
      <c r="F967" s="16"/>
      <c r="G967" s="16"/>
      <c r="H967" s="16"/>
      <c r="I967" s="16"/>
      <c r="J967" s="16"/>
      <c r="K967" s="16"/>
      <c r="L967" s="37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38"/>
      <c r="Z967" s="34"/>
      <c r="AA967" s="18"/>
    </row>
    <row r="968" ht="21.0" customHeight="1">
      <c r="A968" s="18"/>
      <c r="B968" s="33"/>
      <c r="C968" s="34"/>
      <c r="D968" s="33"/>
      <c r="E968" s="18"/>
      <c r="F968" s="16"/>
      <c r="G968" s="16"/>
      <c r="H968" s="16"/>
      <c r="I968" s="16"/>
      <c r="J968" s="16"/>
      <c r="K968" s="16"/>
      <c r="L968" s="37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38"/>
      <c r="Z968" s="34"/>
      <c r="AA968" s="18"/>
    </row>
    <row r="969" ht="21.0" customHeight="1">
      <c r="A969" s="18"/>
      <c r="B969" s="33"/>
      <c r="C969" s="34"/>
      <c r="D969" s="33"/>
      <c r="E969" s="18"/>
      <c r="F969" s="16"/>
      <c r="G969" s="16"/>
      <c r="H969" s="16"/>
      <c r="I969" s="16"/>
      <c r="J969" s="16"/>
      <c r="K969" s="16"/>
      <c r="L969" s="37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38"/>
      <c r="Z969" s="34"/>
      <c r="AA969" s="18"/>
    </row>
  </sheetData>
  <autoFilter ref="$A$1:$Z$137"/>
  <mergeCells count="1">
    <mergeCell ref="A137:E137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63"/>
    <col customWidth="1" min="2" max="2" width="30.75"/>
    <col customWidth="1" min="3" max="3" width="15.25"/>
    <col customWidth="1" min="4" max="4" width="46.13"/>
    <col customWidth="1" min="5" max="5" width="51.63"/>
    <col customWidth="1" min="6" max="6" width="12.25"/>
    <col customWidth="1" min="7" max="13" width="18.63"/>
    <col customWidth="1" hidden="1" min="14" max="25" width="18.63"/>
    <col customWidth="1" min="26" max="29" width="18.63"/>
  </cols>
  <sheetData>
    <row r="1" ht="32.25" customHeight="1">
      <c r="A1" s="1" t="s">
        <v>46</v>
      </c>
      <c r="B1" s="1" t="s">
        <v>0</v>
      </c>
      <c r="C1" s="1" t="s">
        <v>2</v>
      </c>
      <c r="D1" s="39" t="s">
        <v>3</v>
      </c>
      <c r="E1" s="39" t="s">
        <v>1</v>
      </c>
      <c r="F1" s="39" t="s">
        <v>4</v>
      </c>
      <c r="G1" s="3" t="s">
        <v>5</v>
      </c>
      <c r="H1" s="3">
        <v>0.4</v>
      </c>
      <c r="I1" s="4" t="s">
        <v>6</v>
      </c>
      <c r="J1" s="4" t="s">
        <v>7</v>
      </c>
      <c r="K1" s="4" t="s">
        <v>8</v>
      </c>
      <c r="L1" s="4" t="s">
        <v>9</v>
      </c>
      <c r="M1" s="39" t="s">
        <v>10</v>
      </c>
      <c r="N1" s="40" t="s">
        <v>11</v>
      </c>
      <c r="O1" s="40" t="s">
        <v>12</v>
      </c>
      <c r="P1" s="40" t="s">
        <v>13</v>
      </c>
      <c r="Q1" s="40" t="s">
        <v>14</v>
      </c>
      <c r="R1" s="40" t="s">
        <v>15</v>
      </c>
      <c r="S1" s="40" t="s">
        <v>16</v>
      </c>
      <c r="T1" s="40" t="s">
        <v>17</v>
      </c>
      <c r="U1" s="40" t="s">
        <v>18</v>
      </c>
      <c r="V1" s="40" t="s">
        <v>19</v>
      </c>
      <c r="W1" s="40" t="s">
        <v>20</v>
      </c>
      <c r="X1" s="40" t="s">
        <v>21</v>
      </c>
      <c r="Y1" s="40" t="s">
        <v>22</v>
      </c>
      <c r="Z1" s="41" t="s">
        <v>23</v>
      </c>
      <c r="AA1" s="42" t="s">
        <v>265</v>
      </c>
      <c r="AB1" s="43" t="s">
        <v>24</v>
      </c>
      <c r="AC1" s="7"/>
    </row>
    <row r="2" ht="18.75" customHeight="1">
      <c r="A2" s="44" t="s">
        <v>266</v>
      </c>
      <c r="B2" s="44" t="s">
        <v>25</v>
      </c>
      <c r="C2" s="45" t="s">
        <v>267</v>
      </c>
      <c r="D2" s="46" t="s">
        <v>27</v>
      </c>
      <c r="E2" s="47" t="s">
        <v>268</v>
      </c>
      <c r="F2" s="48">
        <v>44807.0</v>
      </c>
      <c r="G2" s="49">
        <v>2980.0</v>
      </c>
      <c r="H2" s="12"/>
      <c r="I2" s="12"/>
      <c r="J2" s="12"/>
      <c r="K2" s="12"/>
      <c r="L2" s="12"/>
      <c r="M2" s="50">
        <f t="shared" ref="M2:M4" si="1">G2+SUM(H2:L2)</f>
        <v>2980</v>
      </c>
      <c r="N2" s="10">
        <f t="shared" ref="N2:N185" si="2"> M2 * 20%</f>
        <v>596</v>
      </c>
      <c r="O2" s="10">
        <f t="shared" ref="O2:O101" si="3"> G2 * 1%</f>
        <v>29.8</v>
      </c>
      <c r="P2" s="10">
        <f t="shared" ref="P2:P101" si="4">G2*1.5%</f>
        <v>44.7</v>
      </c>
      <c r="Q2" s="10">
        <f t="shared" ref="Q2:Q185" si="5"> M2 * 8%</f>
        <v>238.4</v>
      </c>
      <c r="R2" s="10">
        <f t="shared" ref="R2:R101" si="6">G2*8.33%</f>
        <v>248.234</v>
      </c>
      <c r="S2" s="10">
        <f t="shared" ref="S2:S185" si="7">R2/3</f>
        <v>82.74466667</v>
      </c>
      <c r="T2" s="10">
        <f t="shared" ref="T2:T185" si="8">( R2 + S2 ) * 8%</f>
        <v>26.47829333</v>
      </c>
      <c r="U2" s="10">
        <f t="shared" ref="U2:U185" si="9">( R2 + S2 ) * 20%</f>
        <v>66.19573333</v>
      </c>
      <c r="V2" s="10">
        <f t="shared" ref="V2:V101" si="10"> G2*8.33%</f>
        <v>248.234</v>
      </c>
      <c r="W2" s="10">
        <f t="shared" ref="W2:W185" si="11"> V2 * 8%</f>
        <v>19.85872</v>
      </c>
      <c r="X2" s="10">
        <f t="shared" ref="X2:X185" si="12"> V2 * 20%</f>
        <v>49.6468</v>
      </c>
      <c r="Y2" s="10">
        <f t="shared" ref="Y2:Y101" si="13">IF(G2=0, 0, 220 - (G2 * 6%))</f>
        <v>41.2</v>
      </c>
      <c r="Z2" s="51">
        <f t="shared" ref="Z2:Z185" si="14">SUM(N2:Y2)</f>
        <v>1691.492213</v>
      </c>
      <c r="AA2" s="52"/>
      <c r="AB2" s="15">
        <f t="shared" ref="AB2:AB185" si="15">M2+Z2+AA2</f>
        <v>4671.492213</v>
      </c>
      <c r="AC2" s="18"/>
    </row>
    <row r="3" ht="18.75" customHeight="1">
      <c r="A3" s="44" t="s">
        <v>266</v>
      </c>
      <c r="B3" s="44" t="s">
        <v>25</v>
      </c>
      <c r="C3" s="45" t="s">
        <v>267</v>
      </c>
      <c r="D3" s="46" t="s">
        <v>30</v>
      </c>
      <c r="E3" s="47" t="s">
        <v>269</v>
      </c>
      <c r="F3" s="48">
        <v>44775.0</v>
      </c>
      <c r="G3" s="49">
        <v>2703.0</v>
      </c>
      <c r="H3" s="12"/>
      <c r="I3" s="12"/>
      <c r="J3" s="12"/>
      <c r="K3" s="12"/>
      <c r="L3" s="12"/>
      <c r="M3" s="50">
        <f t="shared" si="1"/>
        <v>2703</v>
      </c>
      <c r="N3" s="10">
        <f t="shared" si="2"/>
        <v>540.6</v>
      </c>
      <c r="O3" s="10">
        <f t="shared" si="3"/>
        <v>27.03</v>
      </c>
      <c r="P3" s="10">
        <f t="shared" si="4"/>
        <v>40.545</v>
      </c>
      <c r="Q3" s="10">
        <f t="shared" si="5"/>
        <v>216.24</v>
      </c>
      <c r="R3" s="10">
        <f t="shared" si="6"/>
        <v>225.1599</v>
      </c>
      <c r="S3" s="10">
        <f t="shared" si="7"/>
        <v>75.0533</v>
      </c>
      <c r="T3" s="10">
        <f t="shared" si="8"/>
        <v>24.017056</v>
      </c>
      <c r="U3" s="10">
        <f t="shared" si="9"/>
        <v>60.04264</v>
      </c>
      <c r="V3" s="10">
        <f t="shared" si="10"/>
        <v>225.1599</v>
      </c>
      <c r="W3" s="10">
        <f t="shared" si="11"/>
        <v>18.012792</v>
      </c>
      <c r="X3" s="10">
        <f t="shared" si="12"/>
        <v>45.03198</v>
      </c>
      <c r="Y3" s="10">
        <f t="shared" si="13"/>
        <v>57.82</v>
      </c>
      <c r="Z3" s="51">
        <f t="shared" si="14"/>
        <v>1554.712568</v>
      </c>
      <c r="AA3" s="52"/>
      <c r="AB3" s="15">
        <f t="shared" si="15"/>
        <v>4257.712568</v>
      </c>
      <c r="AC3" s="18"/>
    </row>
    <row r="4" ht="18.75" customHeight="1">
      <c r="A4" s="44" t="s">
        <v>266</v>
      </c>
      <c r="B4" s="44" t="s">
        <v>25</v>
      </c>
      <c r="C4" s="45" t="s">
        <v>267</v>
      </c>
      <c r="D4" s="46" t="s">
        <v>29</v>
      </c>
      <c r="E4" s="47" t="s">
        <v>269</v>
      </c>
      <c r="F4" s="48">
        <v>44782.0</v>
      </c>
      <c r="G4" s="49">
        <v>2703.0</v>
      </c>
      <c r="H4" s="12"/>
      <c r="I4" s="12"/>
      <c r="J4" s="12"/>
      <c r="K4" s="12"/>
      <c r="L4" s="12"/>
      <c r="M4" s="50">
        <f t="shared" si="1"/>
        <v>2703</v>
      </c>
      <c r="N4" s="10">
        <f t="shared" si="2"/>
        <v>540.6</v>
      </c>
      <c r="O4" s="10">
        <f t="shared" si="3"/>
        <v>27.03</v>
      </c>
      <c r="P4" s="10">
        <f t="shared" si="4"/>
        <v>40.545</v>
      </c>
      <c r="Q4" s="10">
        <f t="shared" si="5"/>
        <v>216.24</v>
      </c>
      <c r="R4" s="10">
        <f t="shared" si="6"/>
        <v>225.1599</v>
      </c>
      <c r="S4" s="10">
        <f t="shared" si="7"/>
        <v>75.0533</v>
      </c>
      <c r="T4" s="10">
        <f t="shared" si="8"/>
        <v>24.017056</v>
      </c>
      <c r="U4" s="10">
        <f t="shared" si="9"/>
        <v>60.04264</v>
      </c>
      <c r="V4" s="10">
        <f t="shared" si="10"/>
        <v>225.1599</v>
      </c>
      <c r="W4" s="10">
        <f t="shared" si="11"/>
        <v>18.012792</v>
      </c>
      <c r="X4" s="10">
        <f t="shared" si="12"/>
        <v>45.03198</v>
      </c>
      <c r="Y4" s="10">
        <f t="shared" si="13"/>
        <v>57.82</v>
      </c>
      <c r="Z4" s="51">
        <f t="shared" si="14"/>
        <v>1554.712568</v>
      </c>
      <c r="AA4" s="52"/>
      <c r="AB4" s="15">
        <f t="shared" si="15"/>
        <v>4257.712568</v>
      </c>
      <c r="AC4" s="18"/>
    </row>
    <row r="5" ht="18.75" customHeight="1">
      <c r="A5" s="44" t="s">
        <v>266</v>
      </c>
      <c r="B5" s="44" t="s">
        <v>25</v>
      </c>
      <c r="C5" s="45" t="s">
        <v>267</v>
      </c>
      <c r="D5" s="46" t="s">
        <v>270</v>
      </c>
      <c r="E5" s="47" t="s">
        <v>271</v>
      </c>
      <c r="F5" s="48">
        <v>44454.0</v>
      </c>
      <c r="G5" s="49">
        <v>2190.0</v>
      </c>
      <c r="H5" s="12"/>
      <c r="I5" s="12"/>
      <c r="J5" s="12"/>
      <c r="K5" s="12"/>
      <c r="L5" s="12"/>
      <c r="M5" s="50">
        <v>2190.0</v>
      </c>
      <c r="N5" s="10">
        <f t="shared" si="2"/>
        <v>438</v>
      </c>
      <c r="O5" s="10">
        <f t="shared" si="3"/>
        <v>21.9</v>
      </c>
      <c r="P5" s="10">
        <f t="shared" si="4"/>
        <v>32.85</v>
      </c>
      <c r="Q5" s="10">
        <f t="shared" si="5"/>
        <v>175.2</v>
      </c>
      <c r="R5" s="10">
        <f t="shared" si="6"/>
        <v>182.427</v>
      </c>
      <c r="S5" s="10">
        <f t="shared" si="7"/>
        <v>60.809</v>
      </c>
      <c r="T5" s="10">
        <f t="shared" si="8"/>
        <v>19.45888</v>
      </c>
      <c r="U5" s="10">
        <f t="shared" si="9"/>
        <v>48.6472</v>
      </c>
      <c r="V5" s="10">
        <f t="shared" si="10"/>
        <v>182.427</v>
      </c>
      <c r="W5" s="10">
        <f t="shared" si="11"/>
        <v>14.59416</v>
      </c>
      <c r="X5" s="10">
        <f t="shared" si="12"/>
        <v>36.4854</v>
      </c>
      <c r="Y5" s="10">
        <f t="shared" si="13"/>
        <v>88.6</v>
      </c>
      <c r="Z5" s="51">
        <f t="shared" si="14"/>
        <v>1301.39864</v>
      </c>
      <c r="AA5" s="52"/>
      <c r="AB5" s="15">
        <f t="shared" si="15"/>
        <v>3491.39864</v>
      </c>
      <c r="AC5" s="18"/>
    </row>
    <row r="6" ht="18.75" customHeight="1">
      <c r="A6" s="44" t="s">
        <v>266</v>
      </c>
      <c r="B6" s="44" t="s">
        <v>25</v>
      </c>
      <c r="C6" s="45" t="s">
        <v>267</v>
      </c>
      <c r="D6" s="46" t="s">
        <v>32</v>
      </c>
      <c r="E6" s="47" t="s">
        <v>271</v>
      </c>
      <c r="F6" s="48">
        <v>44954.0</v>
      </c>
      <c r="G6" s="49">
        <v>2190.0</v>
      </c>
      <c r="H6" s="12"/>
      <c r="I6" s="12"/>
      <c r="J6" s="12"/>
      <c r="K6" s="12"/>
      <c r="L6" s="12"/>
      <c r="M6" s="50">
        <f t="shared" ref="M6:M101" si="16">G6+SUM(H6:L6)</f>
        <v>2190</v>
      </c>
      <c r="N6" s="10">
        <f t="shared" si="2"/>
        <v>438</v>
      </c>
      <c r="O6" s="10">
        <f t="shared" si="3"/>
        <v>21.9</v>
      </c>
      <c r="P6" s="10">
        <f t="shared" si="4"/>
        <v>32.85</v>
      </c>
      <c r="Q6" s="10">
        <f t="shared" si="5"/>
        <v>175.2</v>
      </c>
      <c r="R6" s="10">
        <f t="shared" si="6"/>
        <v>182.427</v>
      </c>
      <c r="S6" s="10">
        <f t="shared" si="7"/>
        <v>60.809</v>
      </c>
      <c r="T6" s="10">
        <f t="shared" si="8"/>
        <v>19.45888</v>
      </c>
      <c r="U6" s="10">
        <f t="shared" si="9"/>
        <v>48.6472</v>
      </c>
      <c r="V6" s="10">
        <f t="shared" si="10"/>
        <v>182.427</v>
      </c>
      <c r="W6" s="10">
        <f t="shared" si="11"/>
        <v>14.59416</v>
      </c>
      <c r="X6" s="10">
        <f t="shared" si="12"/>
        <v>36.4854</v>
      </c>
      <c r="Y6" s="10">
        <f t="shared" si="13"/>
        <v>88.6</v>
      </c>
      <c r="Z6" s="51">
        <f t="shared" si="14"/>
        <v>1301.39864</v>
      </c>
      <c r="AA6" s="52"/>
      <c r="AB6" s="15">
        <f t="shared" si="15"/>
        <v>3491.39864</v>
      </c>
      <c r="AC6" s="18"/>
    </row>
    <row r="7" ht="18.75" customHeight="1">
      <c r="A7" s="44" t="s">
        <v>266</v>
      </c>
      <c r="B7" s="44" t="s">
        <v>25</v>
      </c>
      <c r="C7" s="45" t="s">
        <v>267</v>
      </c>
      <c r="D7" s="46" t="s">
        <v>272</v>
      </c>
      <c r="E7" s="47" t="s">
        <v>271</v>
      </c>
      <c r="F7" s="48">
        <v>45485.0</v>
      </c>
      <c r="G7" s="49">
        <v>2190.0</v>
      </c>
      <c r="H7" s="12"/>
      <c r="I7" s="12"/>
      <c r="J7" s="12"/>
      <c r="K7" s="12"/>
      <c r="L7" s="12"/>
      <c r="M7" s="50">
        <f t="shared" si="16"/>
        <v>2190</v>
      </c>
      <c r="N7" s="10">
        <f t="shared" si="2"/>
        <v>438</v>
      </c>
      <c r="O7" s="10">
        <f t="shared" si="3"/>
        <v>21.9</v>
      </c>
      <c r="P7" s="10">
        <f t="shared" si="4"/>
        <v>32.85</v>
      </c>
      <c r="Q7" s="10">
        <f t="shared" si="5"/>
        <v>175.2</v>
      </c>
      <c r="R7" s="10">
        <f t="shared" si="6"/>
        <v>182.427</v>
      </c>
      <c r="S7" s="10">
        <f t="shared" si="7"/>
        <v>60.809</v>
      </c>
      <c r="T7" s="10">
        <f t="shared" si="8"/>
        <v>19.45888</v>
      </c>
      <c r="U7" s="10">
        <f t="shared" si="9"/>
        <v>48.6472</v>
      </c>
      <c r="V7" s="10">
        <f t="shared" si="10"/>
        <v>182.427</v>
      </c>
      <c r="W7" s="10">
        <f t="shared" si="11"/>
        <v>14.59416</v>
      </c>
      <c r="X7" s="10">
        <f t="shared" si="12"/>
        <v>36.4854</v>
      </c>
      <c r="Y7" s="10">
        <f t="shared" si="13"/>
        <v>88.6</v>
      </c>
      <c r="Z7" s="51">
        <f t="shared" si="14"/>
        <v>1301.39864</v>
      </c>
      <c r="AA7" s="52"/>
      <c r="AB7" s="15">
        <f t="shared" si="15"/>
        <v>3491.39864</v>
      </c>
      <c r="AC7" s="18"/>
    </row>
    <row r="8" ht="18.75" customHeight="1">
      <c r="A8" s="44" t="s">
        <v>266</v>
      </c>
      <c r="B8" s="44" t="s">
        <v>25</v>
      </c>
      <c r="C8" s="45" t="s">
        <v>267</v>
      </c>
      <c r="D8" s="46" t="s">
        <v>34</v>
      </c>
      <c r="E8" s="47" t="s">
        <v>271</v>
      </c>
      <c r="F8" s="48">
        <v>45485.0</v>
      </c>
      <c r="G8" s="49">
        <v>2190.0</v>
      </c>
      <c r="H8" s="12"/>
      <c r="I8" s="12"/>
      <c r="J8" s="12">
        <f>G8*10%</f>
        <v>219</v>
      </c>
      <c r="K8" s="12"/>
      <c r="L8" s="12"/>
      <c r="M8" s="50">
        <f t="shared" si="16"/>
        <v>2409</v>
      </c>
      <c r="N8" s="10">
        <f t="shared" si="2"/>
        <v>481.8</v>
      </c>
      <c r="O8" s="10">
        <f t="shared" si="3"/>
        <v>21.9</v>
      </c>
      <c r="P8" s="10">
        <f t="shared" si="4"/>
        <v>32.85</v>
      </c>
      <c r="Q8" s="10">
        <f t="shared" si="5"/>
        <v>192.72</v>
      </c>
      <c r="R8" s="10">
        <f t="shared" si="6"/>
        <v>182.427</v>
      </c>
      <c r="S8" s="10">
        <f t="shared" si="7"/>
        <v>60.809</v>
      </c>
      <c r="T8" s="10">
        <f t="shared" si="8"/>
        <v>19.45888</v>
      </c>
      <c r="U8" s="10">
        <f t="shared" si="9"/>
        <v>48.6472</v>
      </c>
      <c r="V8" s="10">
        <f t="shared" si="10"/>
        <v>182.427</v>
      </c>
      <c r="W8" s="10">
        <f t="shared" si="11"/>
        <v>14.59416</v>
      </c>
      <c r="X8" s="10">
        <f t="shared" si="12"/>
        <v>36.4854</v>
      </c>
      <c r="Y8" s="10">
        <f t="shared" si="13"/>
        <v>88.6</v>
      </c>
      <c r="Z8" s="51">
        <f t="shared" si="14"/>
        <v>1362.71864</v>
      </c>
      <c r="AA8" s="52"/>
      <c r="AB8" s="15">
        <f t="shared" si="15"/>
        <v>3771.71864</v>
      </c>
      <c r="AC8" s="18"/>
    </row>
    <row r="9" ht="18.75" customHeight="1">
      <c r="A9" s="44" t="s">
        <v>266</v>
      </c>
      <c r="B9" s="44" t="s">
        <v>25</v>
      </c>
      <c r="C9" s="45" t="s">
        <v>267</v>
      </c>
      <c r="D9" s="46" t="s">
        <v>36</v>
      </c>
      <c r="E9" s="47" t="s">
        <v>271</v>
      </c>
      <c r="F9" s="48">
        <v>45582.0</v>
      </c>
      <c r="G9" s="49">
        <v>2190.0</v>
      </c>
      <c r="H9" s="12"/>
      <c r="I9" s="12"/>
      <c r="J9" s="12"/>
      <c r="K9" s="12"/>
      <c r="L9" s="12"/>
      <c r="M9" s="50">
        <f t="shared" si="16"/>
        <v>2190</v>
      </c>
      <c r="N9" s="10">
        <f t="shared" si="2"/>
        <v>438</v>
      </c>
      <c r="O9" s="10">
        <f t="shared" si="3"/>
        <v>21.9</v>
      </c>
      <c r="P9" s="10">
        <f t="shared" si="4"/>
        <v>32.85</v>
      </c>
      <c r="Q9" s="10">
        <f t="shared" si="5"/>
        <v>175.2</v>
      </c>
      <c r="R9" s="10">
        <f t="shared" si="6"/>
        <v>182.427</v>
      </c>
      <c r="S9" s="10">
        <f t="shared" si="7"/>
        <v>60.809</v>
      </c>
      <c r="T9" s="10">
        <f t="shared" si="8"/>
        <v>19.45888</v>
      </c>
      <c r="U9" s="10">
        <f t="shared" si="9"/>
        <v>48.6472</v>
      </c>
      <c r="V9" s="10">
        <f t="shared" si="10"/>
        <v>182.427</v>
      </c>
      <c r="W9" s="10">
        <f t="shared" si="11"/>
        <v>14.59416</v>
      </c>
      <c r="X9" s="10">
        <f t="shared" si="12"/>
        <v>36.4854</v>
      </c>
      <c r="Y9" s="10">
        <f t="shared" si="13"/>
        <v>88.6</v>
      </c>
      <c r="Z9" s="51">
        <f t="shared" si="14"/>
        <v>1301.39864</v>
      </c>
      <c r="AA9" s="52"/>
      <c r="AB9" s="15">
        <f t="shared" si="15"/>
        <v>3491.39864</v>
      </c>
      <c r="AC9" s="18"/>
    </row>
    <row r="10" ht="18.75" customHeight="1">
      <c r="A10" s="44" t="s">
        <v>266</v>
      </c>
      <c r="B10" s="44" t="s">
        <v>25</v>
      </c>
      <c r="C10" s="45" t="s">
        <v>267</v>
      </c>
      <c r="D10" s="46" t="s">
        <v>273</v>
      </c>
      <c r="E10" s="47" t="s">
        <v>271</v>
      </c>
      <c r="F10" s="48">
        <v>45905.0</v>
      </c>
      <c r="G10" s="49">
        <v>2190.0</v>
      </c>
      <c r="H10" s="12"/>
      <c r="I10" s="12"/>
      <c r="J10" s="12"/>
      <c r="K10" s="12"/>
      <c r="L10" s="12"/>
      <c r="M10" s="50">
        <f t="shared" si="16"/>
        <v>2190</v>
      </c>
      <c r="N10" s="10">
        <f t="shared" si="2"/>
        <v>438</v>
      </c>
      <c r="O10" s="10">
        <f t="shared" si="3"/>
        <v>21.9</v>
      </c>
      <c r="P10" s="10">
        <f t="shared" si="4"/>
        <v>32.85</v>
      </c>
      <c r="Q10" s="10">
        <f t="shared" si="5"/>
        <v>175.2</v>
      </c>
      <c r="R10" s="10">
        <f t="shared" si="6"/>
        <v>182.427</v>
      </c>
      <c r="S10" s="10">
        <f t="shared" si="7"/>
        <v>60.809</v>
      </c>
      <c r="T10" s="10">
        <f t="shared" si="8"/>
        <v>19.45888</v>
      </c>
      <c r="U10" s="10">
        <f t="shared" si="9"/>
        <v>48.6472</v>
      </c>
      <c r="V10" s="10">
        <f t="shared" si="10"/>
        <v>182.427</v>
      </c>
      <c r="W10" s="10">
        <f t="shared" si="11"/>
        <v>14.59416</v>
      </c>
      <c r="X10" s="10">
        <f t="shared" si="12"/>
        <v>36.4854</v>
      </c>
      <c r="Y10" s="10">
        <f t="shared" si="13"/>
        <v>88.6</v>
      </c>
      <c r="Z10" s="51">
        <f t="shared" si="14"/>
        <v>1301.39864</v>
      </c>
      <c r="AA10" s="52"/>
      <c r="AB10" s="15">
        <f t="shared" si="15"/>
        <v>3491.39864</v>
      </c>
      <c r="AC10" s="18"/>
    </row>
    <row r="11" ht="18.75" customHeight="1">
      <c r="A11" s="44" t="s">
        <v>266</v>
      </c>
      <c r="B11" s="44" t="s">
        <v>25</v>
      </c>
      <c r="C11" s="45" t="s">
        <v>267</v>
      </c>
      <c r="D11" s="46" t="s">
        <v>274</v>
      </c>
      <c r="E11" s="47" t="s">
        <v>271</v>
      </c>
      <c r="F11" s="48">
        <v>45912.0</v>
      </c>
      <c r="G11" s="49">
        <v>2190.0</v>
      </c>
      <c r="H11" s="12"/>
      <c r="I11" s="12"/>
      <c r="J11" s="12"/>
      <c r="K11" s="12"/>
      <c r="L11" s="12"/>
      <c r="M11" s="50">
        <f t="shared" si="16"/>
        <v>2190</v>
      </c>
      <c r="N11" s="10">
        <f t="shared" si="2"/>
        <v>438</v>
      </c>
      <c r="O11" s="10">
        <f t="shared" si="3"/>
        <v>21.9</v>
      </c>
      <c r="P11" s="10">
        <f t="shared" si="4"/>
        <v>32.85</v>
      </c>
      <c r="Q11" s="10">
        <f t="shared" si="5"/>
        <v>175.2</v>
      </c>
      <c r="R11" s="10">
        <f t="shared" si="6"/>
        <v>182.427</v>
      </c>
      <c r="S11" s="10">
        <f t="shared" si="7"/>
        <v>60.809</v>
      </c>
      <c r="T11" s="10">
        <f t="shared" si="8"/>
        <v>19.45888</v>
      </c>
      <c r="U11" s="10">
        <f t="shared" si="9"/>
        <v>48.6472</v>
      </c>
      <c r="V11" s="10">
        <f t="shared" si="10"/>
        <v>182.427</v>
      </c>
      <c r="W11" s="10">
        <f t="shared" si="11"/>
        <v>14.59416</v>
      </c>
      <c r="X11" s="10">
        <f t="shared" si="12"/>
        <v>36.4854</v>
      </c>
      <c r="Y11" s="10">
        <f t="shared" si="13"/>
        <v>88.6</v>
      </c>
      <c r="Z11" s="51">
        <f t="shared" si="14"/>
        <v>1301.39864</v>
      </c>
      <c r="AA11" s="52"/>
      <c r="AB11" s="15">
        <f t="shared" si="15"/>
        <v>3491.39864</v>
      </c>
      <c r="AC11" s="18"/>
    </row>
    <row r="12" ht="18.75" customHeight="1">
      <c r="A12" s="44" t="s">
        <v>266</v>
      </c>
      <c r="B12" s="44" t="s">
        <v>25</v>
      </c>
      <c r="C12" s="45" t="s">
        <v>267</v>
      </c>
      <c r="D12" s="46" t="s">
        <v>275</v>
      </c>
      <c r="E12" s="47" t="s">
        <v>271</v>
      </c>
      <c r="F12" s="48">
        <v>45951.0</v>
      </c>
      <c r="G12" s="49">
        <v>2190.0</v>
      </c>
      <c r="H12" s="12"/>
      <c r="I12" s="12"/>
      <c r="J12" s="12"/>
      <c r="K12" s="12"/>
      <c r="L12" s="12"/>
      <c r="M12" s="50">
        <f t="shared" si="16"/>
        <v>2190</v>
      </c>
      <c r="N12" s="10">
        <f t="shared" si="2"/>
        <v>438</v>
      </c>
      <c r="O12" s="10">
        <f t="shared" si="3"/>
        <v>21.9</v>
      </c>
      <c r="P12" s="10">
        <f t="shared" si="4"/>
        <v>32.85</v>
      </c>
      <c r="Q12" s="10">
        <f t="shared" si="5"/>
        <v>175.2</v>
      </c>
      <c r="R12" s="10">
        <f t="shared" si="6"/>
        <v>182.427</v>
      </c>
      <c r="S12" s="10">
        <f t="shared" si="7"/>
        <v>60.809</v>
      </c>
      <c r="T12" s="10">
        <f t="shared" si="8"/>
        <v>19.45888</v>
      </c>
      <c r="U12" s="10">
        <f t="shared" si="9"/>
        <v>48.6472</v>
      </c>
      <c r="V12" s="10">
        <f t="shared" si="10"/>
        <v>182.427</v>
      </c>
      <c r="W12" s="10">
        <f t="shared" si="11"/>
        <v>14.59416</v>
      </c>
      <c r="X12" s="10">
        <f t="shared" si="12"/>
        <v>36.4854</v>
      </c>
      <c r="Y12" s="10">
        <f t="shared" si="13"/>
        <v>88.6</v>
      </c>
      <c r="Z12" s="51">
        <f t="shared" si="14"/>
        <v>1301.39864</v>
      </c>
      <c r="AA12" s="52"/>
      <c r="AB12" s="15">
        <f t="shared" si="15"/>
        <v>3491.39864</v>
      </c>
      <c r="AC12" s="18"/>
    </row>
    <row r="13" ht="18.75" customHeight="1">
      <c r="A13" s="44" t="s">
        <v>266</v>
      </c>
      <c r="B13" s="44" t="s">
        <v>25</v>
      </c>
      <c r="C13" s="45" t="s">
        <v>267</v>
      </c>
      <c r="D13" s="46" t="s">
        <v>37</v>
      </c>
      <c r="E13" s="47" t="s">
        <v>271</v>
      </c>
      <c r="F13" s="48">
        <v>45755.0</v>
      </c>
      <c r="G13" s="49">
        <v>2190.0</v>
      </c>
      <c r="H13" s="12"/>
      <c r="I13" s="12"/>
      <c r="J13" s="12"/>
      <c r="K13" s="12"/>
      <c r="L13" s="12"/>
      <c r="M13" s="50">
        <f t="shared" si="16"/>
        <v>2190</v>
      </c>
      <c r="N13" s="10">
        <f t="shared" si="2"/>
        <v>438</v>
      </c>
      <c r="O13" s="10">
        <f t="shared" si="3"/>
        <v>21.9</v>
      </c>
      <c r="P13" s="10">
        <f t="shared" si="4"/>
        <v>32.85</v>
      </c>
      <c r="Q13" s="10">
        <f t="shared" si="5"/>
        <v>175.2</v>
      </c>
      <c r="R13" s="10">
        <f t="shared" si="6"/>
        <v>182.427</v>
      </c>
      <c r="S13" s="10">
        <f t="shared" si="7"/>
        <v>60.809</v>
      </c>
      <c r="T13" s="10">
        <f t="shared" si="8"/>
        <v>19.45888</v>
      </c>
      <c r="U13" s="10">
        <f t="shared" si="9"/>
        <v>48.6472</v>
      </c>
      <c r="V13" s="10">
        <f t="shared" si="10"/>
        <v>182.427</v>
      </c>
      <c r="W13" s="10">
        <f t="shared" si="11"/>
        <v>14.59416</v>
      </c>
      <c r="X13" s="10">
        <f t="shared" si="12"/>
        <v>36.4854</v>
      </c>
      <c r="Y13" s="10">
        <f t="shared" si="13"/>
        <v>88.6</v>
      </c>
      <c r="Z13" s="51">
        <f t="shared" si="14"/>
        <v>1301.39864</v>
      </c>
      <c r="AA13" s="52"/>
      <c r="AB13" s="15">
        <f t="shared" si="15"/>
        <v>3491.39864</v>
      </c>
      <c r="AC13" s="18"/>
    </row>
    <row r="14" ht="18.75" customHeight="1">
      <c r="A14" s="44" t="s">
        <v>266</v>
      </c>
      <c r="B14" s="44" t="s">
        <v>25</v>
      </c>
      <c r="C14" s="45" t="s">
        <v>267</v>
      </c>
      <c r="D14" s="46" t="s">
        <v>276</v>
      </c>
      <c r="E14" s="47" t="s">
        <v>271</v>
      </c>
      <c r="F14" s="48">
        <v>45979.0</v>
      </c>
      <c r="G14" s="49">
        <v>2190.0</v>
      </c>
      <c r="H14" s="12"/>
      <c r="I14" s="12"/>
      <c r="J14" s="12"/>
      <c r="K14" s="12"/>
      <c r="L14" s="12"/>
      <c r="M14" s="50">
        <f t="shared" si="16"/>
        <v>2190</v>
      </c>
      <c r="N14" s="10">
        <f t="shared" si="2"/>
        <v>438</v>
      </c>
      <c r="O14" s="10">
        <f t="shared" si="3"/>
        <v>21.9</v>
      </c>
      <c r="P14" s="10">
        <f t="shared" si="4"/>
        <v>32.85</v>
      </c>
      <c r="Q14" s="10">
        <f t="shared" si="5"/>
        <v>175.2</v>
      </c>
      <c r="R14" s="10">
        <f t="shared" si="6"/>
        <v>182.427</v>
      </c>
      <c r="S14" s="10">
        <f t="shared" si="7"/>
        <v>60.809</v>
      </c>
      <c r="T14" s="10">
        <f t="shared" si="8"/>
        <v>19.45888</v>
      </c>
      <c r="U14" s="10">
        <f t="shared" si="9"/>
        <v>48.6472</v>
      </c>
      <c r="V14" s="10">
        <f t="shared" si="10"/>
        <v>182.427</v>
      </c>
      <c r="W14" s="10">
        <f t="shared" si="11"/>
        <v>14.59416</v>
      </c>
      <c r="X14" s="10">
        <f t="shared" si="12"/>
        <v>36.4854</v>
      </c>
      <c r="Y14" s="10">
        <f t="shared" si="13"/>
        <v>88.6</v>
      </c>
      <c r="Z14" s="51">
        <f t="shared" si="14"/>
        <v>1301.39864</v>
      </c>
      <c r="AA14" s="52"/>
      <c r="AB14" s="15">
        <f t="shared" si="15"/>
        <v>3491.39864</v>
      </c>
      <c r="AC14" s="18"/>
    </row>
    <row r="15" ht="18.75" customHeight="1">
      <c r="A15" s="44" t="s">
        <v>266</v>
      </c>
      <c r="B15" s="44" t="s">
        <v>25</v>
      </c>
      <c r="C15" s="53" t="s">
        <v>277</v>
      </c>
      <c r="D15" s="46"/>
      <c r="E15" s="47" t="s">
        <v>271</v>
      </c>
      <c r="F15" s="48"/>
      <c r="G15" s="49">
        <v>0.0</v>
      </c>
      <c r="H15" s="12"/>
      <c r="I15" s="12"/>
      <c r="J15" s="12"/>
      <c r="K15" s="12"/>
      <c r="L15" s="12"/>
      <c r="M15" s="50">
        <f t="shared" si="16"/>
        <v>0</v>
      </c>
      <c r="N15" s="10">
        <f t="shared" si="2"/>
        <v>0</v>
      </c>
      <c r="O15" s="10">
        <f t="shared" si="3"/>
        <v>0</v>
      </c>
      <c r="P15" s="10">
        <f t="shared" si="4"/>
        <v>0</v>
      </c>
      <c r="Q15" s="10">
        <f t="shared" si="5"/>
        <v>0</v>
      </c>
      <c r="R15" s="10">
        <f t="shared" si="6"/>
        <v>0</v>
      </c>
      <c r="S15" s="10">
        <f t="shared" si="7"/>
        <v>0</v>
      </c>
      <c r="T15" s="10">
        <f t="shared" si="8"/>
        <v>0</v>
      </c>
      <c r="U15" s="10">
        <f t="shared" si="9"/>
        <v>0</v>
      </c>
      <c r="V15" s="10">
        <f t="shared" si="10"/>
        <v>0</v>
      </c>
      <c r="W15" s="10">
        <f t="shared" si="11"/>
        <v>0</v>
      </c>
      <c r="X15" s="10">
        <f t="shared" si="12"/>
        <v>0</v>
      </c>
      <c r="Y15" s="10">
        <f t="shared" si="13"/>
        <v>0</v>
      </c>
      <c r="Z15" s="51">
        <f t="shared" si="14"/>
        <v>0</v>
      </c>
      <c r="AA15" s="52"/>
      <c r="AB15" s="15">
        <f t="shared" si="15"/>
        <v>0</v>
      </c>
      <c r="AC15" s="18"/>
    </row>
    <row r="16" ht="18.75" customHeight="1">
      <c r="A16" s="44" t="s">
        <v>266</v>
      </c>
      <c r="B16" s="44" t="s">
        <v>25</v>
      </c>
      <c r="C16" s="53" t="s">
        <v>277</v>
      </c>
      <c r="D16" s="46"/>
      <c r="E16" s="47" t="s">
        <v>271</v>
      </c>
      <c r="F16" s="48"/>
      <c r="G16" s="49">
        <v>0.0</v>
      </c>
      <c r="H16" s="12"/>
      <c r="I16" s="12"/>
      <c r="J16" s="12"/>
      <c r="K16" s="12"/>
      <c r="L16" s="12"/>
      <c r="M16" s="50">
        <f t="shared" si="16"/>
        <v>0</v>
      </c>
      <c r="N16" s="10">
        <f t="shared" si="2"/>
        <v>0</v>
      </c>
      <c r="O16" s="10">
        <f t="shared" si="3"/>
        <v>0</v>
      </c>
      <c r="P16" s="10">
        <f t="shared" si="4"/>
        <v>0</v>
      </c>
      <c r="Q16" s="10">
        <f t="shared" si="5"/>
        <v>0</v>
      </c>
      <c r="R16" s="10">
        <f t="shared" si="6"/>
        <v>0</v>
      </c>
      <c r="S16" s="10">
        <f t="shared" si="7"/>
        <v>0</v>
      </c>
      <c r="T16" s="10">
        <f t="shared" si="8"/>
        <v>0</v>
      </c>
      <c r="U16" s="10">
        <f t="shared" si="9"/>
        <v>0</v>
      </c>
      <c r="V16" s="10">
        <f t="shared" si="10"/>
        <v>0</v>
      </c>
      <c r="W16" s="10">
        <f t="shared" si="11"/>
        <v>0</v>
      </c>
      <c r="X16" s="10">
        <f t="shared" si="12"/>
        <v>0</v>
      </c>
      <c r="Y16" s="10">
        <f t="shared" si="13"/>
        <v>0</v>
      </c>
      <c r="Z16" s="51">
        <f t="shared" si="14"/>
        <v>0</v>
      </c>
      <c r="AA16" s="52"/>
      <c r="AB16" s="15">
        <f t="shared" si="15"/>
        <v>0</v>
      </c>
      <c r="AC16" s="18"/>
    </row>
    <row r="17" ht="18.75" customHeight="1">
      <c r="A17" s="54" t="s">
        <v>266</v>
      </c>
      <c r="B17" s="54" t="s">
        <v>38</v>
      </c>
      <c r="C17" s="45" t="s">
        <v>267</v>
      </c>
      <c r="D17" s="46" t="s">
        <v>278</v>
      </c>
      <c r="E17" s="47" t="s">
        <v>279</v>
      </c>
      <c r="F17" s="48">
        <v>45616.0</v>
      </c>
      <c r="G17" s="49">
        <v>2190.0</v>
      </c>
      <c r="H17" s="12"/>
      <c r="I17" s="12"/>
      <c r="J17" s="12">
        <f>G17*10%</f>
        <v>219</v>
      </c>
      <c r="K17" s="12"/>
      <c r="L17" s="12"/>
      <c r="M17" s="50">
        <f t="shared" si="16"/>
        <v>2409</v>
      </c>
      <c r="N17" s="10">
        <f t="shared" si="2"/>
        <v>481.8</v>
      </c>
      <c r="O17" s="10">
        <f t="shared" si="3"/>
        <v>21.9</v>
      </c>
      <c r="P17" s="10">
        <f t="shared" si="4"/>
        <v>32.85</v>
      </c>
      <c r="Q17" s="10">
        <f t="shared" si="5"/>
        <v>192.72</v>
      </c>
      <c r="R17" s="10">
        <f t="shared" si="6"/>
        <v>182.427</v>
      </c>
      <c r="S17" s="10">
        <f t="shared" si="7"/>
        <v>60.809</v>
      </c>
      <c r="T17" s="10">
        <f t="shared" si="8"/>
        <v>19.45888</v>
      </c>
      <c r="U17" s="10">
        <f t="shared" si="9"/>
        <v>48.6472</v>
      </c>
      <c r="V17" s="10">
        <f t="shared" si="10"/>
        <v>182.427</v>
      </c>
      <c r="W17" s="10">
        <f t="shared" si="11"/>
        <v>14.59416</v>
      </c>
      <c r="X17" s="10">
        <f t="shared" si="12"/>
        <v>36.4854</v>
      </c>
      <c r="Y17" s="10">
        <f t="shared" si="13"/>
        <v>88.6</v>
      </c>
      <c r="Z17" s="51">
        <f t="shared" si="14"/>
        <v>1362.71864</v>
      </c>
      <c r="AA17" s="52"/>
      <c r="AB17" s="15">
        <f t="shared" si="15"/>
        <v>3771.71864</v>
      </c>
      <c r="AC17" s="18"/>
    </row>
    <row r="18" ht="18.75" customHeight="1">
      <c r="A18" s="54" t="s">
        <v>266</v>
      </c>
      <c r="B18" s="54" t="s">
        <v>38</v>
      </c>
      <c r="C18" s="45" t="s">
        <v>267</v>
      </c>
      <c r="D18" s="46" t="s">
        <v>280</v>
      </c>
      <c r="E18" s="47" t="s">
        <v>279</v>
      </c>
      <c r="F18" s="48">
        <v>45925.0</v>
      </c>
      <c r="G18" s="49">
        <v>2190.0</v>
      </c>
      <c r="H18" s="12"/>
      <c r="I18" s="12"/>
      <c r="J18" s="12"/>
      <c r="K18" s="12"/>
      <c r="L18" s="12"/>
      <c r="M18" s="50">
        <f t="shared" si="16"/>
        <v>2190</v>
      </c>
      <c r="N18" s="10">
        <f t="shared" si="2"/>
        <v>438</v>
      </c>
      <c r="O18" s="10">
        <f t="shared" si="3"/>
        <v>21.9</v>
      </c>
      <c r="P18" s="10">
        <f t="shared" si="4"/>
        <v>32.85</v>
      </c>
      <c r="Q18" s="10">
        <f t="shared" si="5"/>
        <v>175.2</v>
      </c>
      <c r="R18" s="10">
        <f t="shared" si="6"/>
        <v>182.427</v>
      </c>
      <c r="S18" s="10">
        <f t="shared" si="7"/>
        <v>60.809</v>
      </c>
      <c r="T18" s="10">
        <f t="shared" si="8"/>
        <v>19.45888</v>
      </c>
      <c r="U18" s="10">
        <f t="shared" si="9"/>
        <v>48.6472</v>
      </c>
      <c r="V18" s="10">
        <f t="shared" si="10"/>
        <v>182.427</v>
      </c>
      <c r="W18" s="10">
        <f t="shared" si="11"/>
        <v>14.59416</v>
      </c>
      <c r="X18" s="10">
        <f t="shared" si="12"/>
        <v>36.4854</v>
      </c>
      <c r="Y18" s="10">
        <f t="shared" si="13"/>
        <v>88.6</v>
      </c>
      <c r="Z18" s="51">
        <f t="shared" si="14"/>
        <v>1301.39864</v>
      </c>
      <c r="AA18" s="52"/>
      <c r="AB18" s="15">
        <f t="shared" si="15"/>
        <v>3491.39864</v>
      </c>
      <c r="AC18" s="18"/>
    </row>
    <row r="19" ht="18.75" customHeight="1">
      <c r="A19" s="54" t="s">
        <v>266</v>
      </c>
      <c r="B19" s="54" t="s">
        <v>38</v>
      </c>
      <c r="C19" s="45" t="s">
        <v>267</v>
      </c>
      <c r="D19" s="46" t="s">
        <v>40</v>
      </c>
      <c r="E19" s="47" t="s">
        <v>279</v>
      </c>
      <c r="F19" s="48">
        <v>43117.0</v>
      </c>
      <c r="G19" s="49">
        <v>2190.0</v>
      </c>
      <c r="H19" s="12"/>
      <c r="I19" s="12"/>
      <c r="J19" s="12"/>
      <c r="K19" s="12"/>
      <c r="L19" s="12">
        <f>G19*2%</f>
        <v>43.8</v>
      </c>
      <c r="M19" s="50">
        <f t="shared" si="16"/>
        <v>2233.8</v>
      </c>
      <c r="N19" s="10">
        <f t="shared" si="2"/>
        <v>446.76</v>
      </c>
      <c r="O19" s="10">
        <f t="shared" si="3"/>
        <v>21.9</v>
      </c>
      <c r="P19" s="10">
        <f t="shared" si="4"/>
        <v>32.85</v>
      </c>
      <c r="Q19" s="10">
        <f t="shared" si="5"/>
        <v>178.704</v>
      </c>
      <c r="R19" s="10">
        <f t="shared" si="6"/>
        <v>182.427</v>
      </c>
      <c r="S19" s="10">
        <f t="shared" si="7"/>
        <v>60.809</v>
      </c>
      <c r="T19" s="10">
        <f t="shared" si="8"/>
        <v>19.45888</v>
      </c>
      <c r="U19" s="10">
        <f t="shared" si="9"/>
        <v>48.6472</v>
      </c>
      <c r="V19" s="10">
        <f t="shared" si="10"/>
        <v>182.427</v>
      </c>
      <c r="W19" s="10">
        <f t="shared" si="11"/>
        <v>14.59416</v>
      </c>
      <c r="X19" s="10">
        <f t="shared" si="12"/>
        <v>36.4854</v>
      </c>
      <c r="Y19" s="10">
        <f t="shared" si="13"/>
        <v>88.6</v>
      </c>
      <c r="Z19" s="51">
        <f t="shared" si="14"/>
        <v>1313.66264</v>
      </c>
      <c r="AA19" s="52"/>
      <c r="AB19" s="15">
        <f t="shared" si="15"/>
        <v>3547.46264</v>
      </c>
      <c r="AC19" s="18"/>
    </row>
    <row r="20" ht="18.75" customHeight="1">
      <c r="A20" s="54" t="s">
        <v>266</v>
      </c>
      <c r="B20" s="54" t="s">
        <v>38</v>
      </c>
      <c r="C20" s="45" t="s">
        <v>267</v>
      </c>
      <c r="D20" s="46" t="s">
        <v>45</v>
      </c>
      <c r="E20" s="47" t="s">
        <v>279</v>
      </c>
      <c r="F20" s="55">
        <v>45087.0</v>
      </c>
      <c r="G20" s="49">
        <v>2190.0</v>
      </c>
      <c r="H20" s="12"/>
      <c r="I20" s="12"/>
      <c r="J20" s="12"/>
      <c r="K20" s="12"/>
      <c r="L20" s="12"/>
      <c r="M20" s="50">
        <f t="shared" si="16"/>
        <v>2190</v>
      </c>
      <c r="N20" s="10">
        <f t="shared" si="2"/>
        <v>438</v>
      </c>
      <c r="O20" s="10">
        <f t="shared" si="3"/>
        <v>21.9</v>
      </c>
      <c r="P20" s="10">
        <f t="shared" si="4"/>
        <v>32.85</v>
      </c>
      <c r="Q20" s="10">
        <f t="shared" si="5"/>
        <v>175.2</v>
      </c>
      <c r="R20" s="10">
        <f t="shared" si="6"/>
        <v>182.427</v>
      </c>
      <c r="S20" s="10">
        <f t="shared" si="7"/>
        <v>60.809</v>
      </c>
      <c r="T20" s="10">
        <f t="shared" si="8"/>
        <v>19.45888</v>
      </c>
      <c r="U20" s="10">
        <f t="shared" si="9"/>
        <v>48.6472</v>
      </c>
      <c r="V20" s="10">
        <f t="shared" si="10"/>
        <v>182.427</v>
      </c>
      <c r="W20" s="10">
        <f t="shared" si="11"/>
        <v>14.59416</v>
      </c>
      <c r="X20" s="10">
        <f t="shared" si="12"/>
        <v>36.4854</v>
      </c>
      <c r="Y20" s="10">
        <f t="shared" si="13"/>
        <v>88.6</v>
      </c>
      <c r="Z20" s="51">
        <f t="shared" si="14"/>
        <v>1301.39864</v>
      </c>
      <c r="AA20" s="52"/>
      <c r="AB20" s="15">
        <f t="shared" si="15"/>
        <v>3491.39864</v>
      </c>
      <c r="AC20" s="18"/>
    </row>
    <row r="21" ht="18.75" customHeight="1">
      <c r="A21" s="54" t="s">
        <v>266</v>
      </c>
      <c r="B21" s="54" t="s">
        <v>38</v>
      </c>
      <c r="C21" s="56" t="s">
        <v>281</v>
      </c>
      <c r="D21" s="46"/>
      <c r="E21" s="47" t="s">
        <v>279</v>
      </c>
      <c r="F21" s="48"/>
      <c r="G21" s="49">
        <v>0.0</v>
      </c>
      <c r="H21" s="12"/>
      <c r="I21" s="12"/>
      <c r="J21" s="12"/>
      <c r="K21" s="12"/>
      <c r="L21" s="12"/>
      <c r="M21" s="50">
        <f t="shared" si="16"/>
        <v>0</v>
      </c>
      <c r="N21" s="10">
        <f t="shared" si="2"/>
        <v>0</v>
      </c>
      <c r="O21" s="10">
        <f t="shared" si="3"/>
        <v>0</v>
      </c>
      <c r="P21" s="10">
        <f t="shared" si="4"/>
        <v>0</v>
      </c>
      <c r="Q21" s="10">
        <f t="shared" si="5"/>
        <v>0</v>
      </c>
      <c r="R21" s="10">
        <f t="shared" si="6"/>
        <v>0</v>
      </c>
      <c r="S21" s="10">
        <f t="shared" si="7"/>
        <v>0</v>
      </c>
      <c r="T21" s="10">
        <f t="shared" si="8"/>
        <v>0</v>
      </c>
      <c r="U21" s="10">
        <f t="shared" si="9"/>
        <v>0</v>
      </c>
      <c r="V21" s="10">
        <f t="shared" si="10"/>
        <v>0</v>
      </c>
      <c r="W21" s="10">
        <f t="shared" si="11"/>
        <v>0</v>
      </c>
      <c r="X21" s="10">
        <f t="shared" si="12"/>
        <v>0</v>
      </c>
      <c r="Y21" s="10">
        <f t="shared" si="13"/>
        <v>0</v>
      </c>
      <c r="Z21" s="51">
        <f t="shared" si="14"/>
        <v>0</v>
      </c>
      <c r="AA21" s="52"/>
      <c r="AB21" s="15">
        <f t="shared" si="15"/>
        <v>0</v>
      </c>
      <c r="AC21" s="18"/>
    </row>
    <row r="22" ht="18.75" customHeight="1">
      <c r="A22" s="44" t="s">
        <v>266</v>
      </c>
      <c r="B22" s="54" t="s">
        <v>38</v>
      </c>
      <c r="C22" s="53" t="s">
        <v>277</v>
      </c>
      <c r="D22" s="46"/>
      <c r="E22" s="47" t="s">
        <v>279</v>
      </c>
      <c r="F22" s="48"/>
      <c r="G22" s="49">
        <v>0.0</v>
      </c>
      <c r="H22" s="12"/>
      <c r="I22" s="12"/>
      <c r="J22" s="12"/>
      <c r="K22" s="12"/>
      <c r="L22" s="12"/>
      <c r="M22" s="50">
        <f t="shared" si="16"/>
        <v>0</v>
      </c>
      <c r="N22" s="10">
        <f t="shared" si="2"/>
        <v>0</v>
      </c>
      <c r="O22" s="10">
        <f t="shared" si="3"/>
        <v>0</v>
      </c>
      <c r="P22" s="10">
        <f t="shared" si="4"/>
        <v>0</v>
      </c>
      <c r="Q22" s="10">
        <f t="shared" si="5"/>
        <v>0</v>
      </c>
      <c r="R22" s="10">
        <f t="shared" si="6"/>
        <v>0</v>
      </c>
      <c r="S22" s="10">
        <f t="shared" si="7"/>
        <v>0</v>
      </c>
      <c r="T22" s="10">
        <f t="shared" si="8"/>
        <v>0</v>
      </c>
      <c r="U22" s="10">
        <f t="shared" si="9"/>
        <v>0</v>
      </c>
      <c r="V22" s="10">
        <f t="shared" si="10"/>
        <v>0</v>
      </c>
      <c r="W22" s="10">
        <f t="shared" si="11"/>
        <v>0</v>
      </c>
      <c r="X22" s="10">
        <f t="shared" si="12"/>
        <v>0</v>
      </c>
      <c r="Y22" s="10">
        <f t="shared" si="13"/>
        <v>0</v>
      </c>
      <c r="Z22" s="51">
        <f t="shared" si="14"/>
        <v>0</v>
      </c>
      <c r="AA22" s="52"/>
      <c r="AB22" s="15">
        <f t="shared" si="15"/>
        <v>0</v>
      </c>
      <c r="AC22" s="18"/>
    </row>
    <row r="23" ht="18.75" customHeight="1">
      <c r="A23" s="44" t="s">
        <v>266</v>
      </c>
      <c r="B23" s="54" t="s">
        <v>74</v>
      </c>
      <c r="C23" s="45" t="s">
        <v>267</v>
      </c>
      <c r="D23" s="46" t="s">
        <v>78</v>
      </c>
      <c r="E23" s="47" t="s">
        <v>282</v>
      </c>
      <c r="F23" s="48">
        <v>45673.0</v>
      </c>
      <c r="G23" s="49">
        <v>2190.0</v>
      </c>
      <c r="H23" s="12"/>
      <c r="I23" s="12"/>
      <c r="J23" s="12">
        <f>G23*10%</f>
        <v>219</v>
      </c>
      <c r="K23" s="12"/>
      <c r="L23" s="12"/>
      <c r="M23" s="50">
        <f t="shared" si="16"/>
        <v>2409</v>
      </c>
      <c r="N23" s="10">
        <f t="shared" si="2"/>
        <v>481.8</v>
      </c>
      <c r="O23" s="10">
        <f t="shared" si="3"/>
        <v>21.9</v>
      </c>
      <c r="P23" s="10">
        <f t="shared" si="4"/>
        <v>32.85</v>
      </c>
      <c r="Q23" s="10">
        <f t="shared" si="5"/>
        <v>192.72</v>
      </c>
      <c r="R23" s="10">
        <f t="shared" si="6"/>
        <v>182.427</v>
      </c>
      <c r="S23" s="10">
        <f t="shared" si="7"/>
        <v>60.809</v>
      </c>
      <c r="T23" s="10">
        <f t="shared" si="8"/>
        <v>19.45888</v>
      </c>
      <c r="U23" s="10">
        <f t="shared" si="9"/>
        <v>48.6472</v>
      </c>
      <c r="V23" s="10">
        <f t="shared" si="10"/>
        <v>182.427</v>
      </c>
      <c r="W23" s="10">
        <f t="shared" si="11"/>
        <v>14.59416</v>
      </c>
      <c r="X23" s="10">
        <f t="shared" si="12"/>
        <v>36.4854</v>
      </c>
      <c r="Y23" s="10">
        <f t="shared" si="13"/>
        <v>88.6</v>
      </c>
      <c r="Z23" s="51">
        <f t="shared" si="14"/>
        <v>1362.71864</v>
      </c>
      <c r="AA23" s="52"/>
      <c r="AB23" s="15">
        <f t="shared" si="15"/>
        <v>3771.71864</v>
      </c>
      <c r="AC23" s="18"/>
    </row>
    <row r="24" ht="18.75" customHeight="1">
      <c r="A24" s="44" t="s">
        <v>266</v>
      </c>
      <c r="B24" s="54" t="s">
        <v>74</v>
      </c>
      <c r="C24" s="45" t="s">
        <v>267</v>
      </c>
      <c r="D24" s="46" t="s">
        <v>283</v>
      </c>
      <c r="E24" s="47" t="s">
        <v>284</v>
      </c>
      <c r="F24" s="48">
        <v>46011.0</v>
      </c>
      <c r="G24" s="49">
        <v>2190.0</v>
      </c>
      <c r="H24" s="12"/>
      <c r="I24" s="12"/>
      <c r="J24" s="12"/>
      <c r="K24" s="12"/>
      <c r="L24" s="12"/>
      <c r="M24" s="50">
        <f t="shared" si="16"/>
        <v>2190</v>
      </c>
      <c r="N24" s="10">
        <f t="shared" si="2"/>
        <v>438</v>
      </c>
      <c r="O24" s="10">
        <f t="shared" si="3"/>
        <v>21.9</v>
      </c>
      <c r="P24" s="10">
        <f t="shared" si="4"/>
        <v>32.85</v>
      </c>
      <c r="Q24" s="10">
        <f t="shared" si="5"/>
        <v>175.2</v>
      </c>
      <c r="R24" s="10">
        <f t="shared" si="6"/>
        <v>182.427</v>
      </c>
      <c r="S24" s="10">
        <f t="shared" si="7"/>
        <v>60.809</v>
      </c>
      <c r="T24" s="10">
        <f t="shared" si="8"/>
        <v>19.45888</v>
      </c>
      <c r="U24" s="10">
        <f t="shared" si="9"/>
        <v>48.6472</v>
      </c>
      <c r="V24" s="10">
        <f t="shared" si="10"/>
        <v>182.427</v>
      </c>
      <c r="W24" s="10">
        <f t="shared" si="11"/>
        <v>14.59416</v>
      </c>
      <c r="X24" s="10">
        <f t="shared" si="12"/>
        <v>36.4854</v>
      </c>
      <c r="Y24" s="10">
        <f t="shared" si="13"/>
        <v>88.6</v>
      </c>
      <c r="Z24" s="51">
        <f t="shared" si="14"/>
        <v>1301.39864</v>
      </c>
      <c r="AA24" s="52"/>
      <c r="AB24" s="15">
        <f t="shared" si="15"/>
        <v>3491.39864</v>
      </c>
      <c r="AC24" s="18"/>
    </row>
    <row r="25" ht="18.75" customHeight="1">
      <c r="A25" s="44" t="s">
        <v>266</v>
      </c>
      <c r="B25" s="54" t="s">
        <v>74</v>
      </c>
      <c r="C25" s="45" t="s">
        <v>267</v>
      </c>
      <c r="D25" s="46" t="s">
        <v>285</v>
      </c>
      <c r="E25" s="47" t="s">
        <v>79</v>
      </c>
      <c r="F25" s="48">
        <v>45992.0</v>
      </c>
      <c r="G25" s="49">
        <v>2190.0</v>
      </c>
      <c r="H25" s="12"/>
      <c r="I25" s="12"/>
      <c r="J25" s="12"/>
      <c r="K25" s="12"/>
      <c r="L25" s="12"/>
      <c r="M25" s="50">
        <f t="shared" si="16"/>
        <v>2190</v>
      </c>
      <c r="N25" s="10">
        <f t="shared" si="2"/>
        <v>438</v>
      </c>
      <c r="O25" s="10">
        <f t="shared" si="3"/>
        <v>21.9</v>
      </c>
      <c r="P25" s="10">
        <f t="shared" si="4"/>
        <v>32.85</v>
      </c>
      <c r="Q25" s="10">
        <f t="shared" si="5"/>
        <v>175.2</v>
      </c>
      <c r="R25" s="10">
        <f t="shared" si="6"/>
        <v>182.427</v>
      </c>
      <c r="S25" s="10">
        <f t="shared" si="7"/>
        <v>60.809</v>
      </c>
      <c r="T25" s="10">
        <f t="shared" si="8"/>
        <v>19.45888</v>
      </c>
      <c r="U25" s="10">
        <f t="shared" si="9"/>
        <v>48.6472</v>
      </c>
      <c r="V25" s="10">
        <f t="shared" si="10"/>
        <v>182.427</v>
      </c>
      <c r="W25" s="10">
        <f t="shared" si="11"/>
        <v>14.59416</v>
      </c>
      <c r="X25" s="10">
        <f t="shared" si="12"/>
        <v>36.4854</v>
      </c>
      <c r="Y25" s="10">
        <f t="shared" si="13"/>
        <v>88.6</v>
      </c>
      <c r="Z25" s="51">
        <f t="shared" si="14"/>
        <v>1301.39864</v>
      </c>
      <c r="AA25" s="52"/>
      <c r="AB25" s="15">
        <f t="shared" si="15"/>
        <v>3491.39864</v>
      </c>
      <c r="AC25" s="18"/>
    </row>
    <row r="26" ht="18.75" customHeight="1">
      <c r="A26" s="44" t="s">
        <v>266</v>
      </c>
      <c r="B26" s="54" t="s">
        <v>74</v>
      </c>
      <c r="C26" s="45" t="s">
        <v>267</v>
      </c>
      <c r="D26" s="46" t="s">
        <v>81</v>
      </c>
      <c r="E26" s="47" t="s">
        <v>79</v>
      </c>
      <c r="F26" s="48">
        <v>45536.0</v>
      </c>
      <c r="G26" s="49">
        <v>2190.0</v>
      </c>
      <c r="H26" s="12"/>
      <c r="I26" s="12"/>
      <c r="J26" s="12"/>
      <c r="K26" s="12"/>
      <c r="L26" s="12"/>
      <c r="M26" s="50">
        <f t="shared" si="16"/>
        <v>2190</v>
      </c>
      <c r="N26" s="10">
        <f t="shared" si="2"/>
        <v>438</v>
      </c>
      <c r="O26" s="10">
        <f t="shared" si="3"/>
        <v>21.9</v>
      </c>
      <c r="P26" s="10">
        <f t="shared" si="4"/>
        <v>32.85</v>
      </c>
      <c r="Q26" s="10">
        <f t="shared" si="5"/>
        <v>175.2</v>
      </c>
      <c r="R26" s="10">
        <f t="shared" si="6"/>
        <v>182.427</v>
      </c>
      <c r="S26" s="10">
        <f t="shared" si="7"/>
        <v>60.809</v>
      </c>
      <c r="T26" s="10">
        <f t="shared" si="8"/>
        <v>19.45888</v>
      </c>
      <c r="U26" s="10">
        <f t="shared" si="9"/>
        <v>48.6472</v>
      </c>
      <c r="V26" s="10">
        <f t="shared" si="10"/>
        <v>182.427</v>
      </c>
      <c r="W26" s="10">
        <f t="shared" si="11"/>
        <v>14.59416</v>
      </c>
      <c r="X26" s="10">
        <f t="shared" si="12"/>
        <v>36.4854</v>
      </c>
      <c r="Y26" s="10">
        <f t="shared" si="13"/>
        <v>88.6</v>
      </c>
      <c r="Z26" s="51">
        <f t="shared" si="14"/>
        <v>1301.39864</v>
      </c>
      <c r="AA26" s="52"/>
      <c r="AB26" s="15">
        <f t="shared" si="15"/>
        <v>3491.39864</v>
      </c>
      <c r="AC26" s="18"/>
    </row>
    <row r="27" ht="18.75" customHeight="1">
      <c r="A27" s="44" t="s">
        <v>266</v>
      </c>
      <c r="B27" s="54" t="s">
        <v>74</v>
      </c>
      <c r="C27" s="45" t="s">
        <v>267</v>
      </c>
      <c r="D27" s="46" t="s">
        <v>83</v>
      </c>
      <c r="E27" s="47" t="s">
        <v>284</v>
      </c>
      <c r="F27" s="48">
        <v>45519.0</v>
      </c>
      <c r="G27" s="49">
        <v>2190.0</v>
      </c>
      <c r="H27" s="12"/>
      <c r="I27" s="12"/>
      <c r="J27" s="12"/>
      <c r="K27" s="12"/>
      <c r="L27" s="12"/>
      <c r="M27" s="50">
        <f t="shared" si="16"/>
        <v>2190</v>
      </c>
      <c r="N27" s="10">
        <f t="shared" si="2"/>
        <v>438</v>
      </c>
      <c r="O27" s="10">
        <f t="shared" si="3"/>
        <v>21.9</v>
      </c>
      <c r="P27" s="10">
        <f t="shared" si="4"/>
        <v>32.85</v>
      </c>
      <c r="Q27" s="10">
        <f t="shared" si="5"/>
        <v>175.2</v>
      </c>
      <c r="R27" s="10">
        <f t="shared" si="6"/>
        <v>182.427</v>
      </c>
      <c r="S27" s="10">
        <f t="shared" si="7"/>
        <v>60.809</v>
      </c>
      <c r="T27" s="10">
        <f t="shared" si="8"/>
        <v>19.45888</v>
      </c>
      <c r="U27" s="10">
        <f t="shared" si="9"/>
        <v>48.6472</v>
      </c>
      <c r="V27" s="10">
        <f t="shared" si="10"/>
        <v>182.427</v>
      </c>
      <c r="W27" s="10">
        <f t="shared" si="11"/>
        <v>14.59416</v>
      </c>
      <c r="X27" s="10">
        <f t="shared" si="12"/>
        <v>36.4854</v>
      </c>
      <c r="Y27" s="10">
        <f t="shared" si="13"/>
        <v>88.6</v>
      </c>
      <c r="Z27" s="51">
        <f t="shared" si="14"/>
        <v>1301.39864</v>
      </c>
      <c r="AA27" s="52"/>
      <c r="AB27" s="15">
        <f t="shared" si="15"/>
        <v>3491.39864</v>
      </c>
      <c r="AC27" s="18"/>
    </row>
    <row r="28" ht="18.75" customHeight="1">
      <c r="A28" s="44" t="s">
        <v>266</v>
      </c>
      <c r="B28" s="54" t="s">
        <v>74</v>
      </c>
      <c r="C28" s="45" t="s">
        <v>267</v>
      </c>
      <c r="D28" s="46" t="s">
        <v>286</v>
      </c>
      <c r="E28" s="47" t="s">
        <v>79</v>
      </c>
      <c r="F28" s="48">
        <v>45848.0</v>
      </c>
      <c r="G28" s="49">
        <v>2190.0</v>
      </c>
      <c r="H28" s="12"/>
      <c r="I28" s="12"/>
      <c r="J28" s="12">
        <f>G28*10%</f>
        <v>219</v>
      </c>
      <c r="K28" s="12"/>
      <c r="L28" s="12"/>
      <c r="M28" s="50">
        <f t="shared" si="16"/>
        <v>2409</v>
      </c>
      <c r="N28" s="10">
        <f t="shared" si="2"/>
        <v>481.8</v>
      </c>
      <c r="O28" s="10">
        <f t="shared" si="3"/>
        <v>21.9</v>
      </c>
      <c r="P28" s="10">
        <f t="shared" si="4"/>
        <v>32.85</v>
      </c>
      <c r="Q28" s="10">
        <f t="shared" si="5"/>
        <v>192.72</v>
      </c>
      <c r="R28" s="10">
        <f t="shared" si="6"/>
        <v>182.427</v>
      </c>
      <c r="S28" s="10">
        <f t="shared" si="7"/>
        <v>60.809</v>
      </c>
      <c r="T28" s="10">
        <f t="shared" si="8"/>
        <v>19.45888</v>
      </c>
      <c r="U28" s="10">
        <f t="shared" si="9"/>
        <v>48.6472</v>
      </c>
      <c r="V28" s="10">
        <f t="shared" si="10"/>
        <v>182.427</v>
      </c>
      <c r="W28" s="10">
        <f t="shared" si="11"/>
        <v>14.59416</v>
      </c>
      <c r="X28" s="10">
        <f t="shared" si="12"/>
        <v>36.4854</v>
      </c>
      <c r="Y28" s="10">
        <f t="shared" si="13"/>
        <v>88.6</v>
      </c>
      <c r="Z28" s="51">
        <f t="shared" si="14"/>
        <v>1362.71864</v>
      </c>
      <c r="AA28" s="52"/>
      <c r="AB28" s="15">
        <f t="shared" si="15"/>
        <v>3771.71864</v>
      </c>
      <c r="AC28" s="18"/>
    </row>
    <row r="29" ht="18.75" customHeight="1">
      <c r="A29" s="44" t="s">
        <v>266</v>
      </c>
      <c r="B29" s="54" t="s">
        <v>74</v>
      </c>
      <c r="C29" s="45" t="s">
        <v>267</v>
      </c>
      <c r="D29" s="46" t="s">
        <v>76</v>
      </c>
      <c r="E29" s="47" t="s">
        <v>287</v>
      </c>
      <c r="F29" s="48">
        <v>44170.0</v>
      </c>
      <c r="G29" s="49">
        <v>2703.0</v>
      </c>
      <c r="H29" s="12"/>
      <c r="I29" s="12"/>
      <c r="J29" s="12"/>
      <c r="K29" s="12"/>
      <c r="L29" s="12">
        <f>G29*2%</f>
        <v>54.06</v>
      </c>
      <c r="M29" s="50">
        <f t="shared" si="16"/>
        <v>2757.06</v>
      </c>
      <c r="N29" s="10">
        <f t="shared" si="2"/>
        <v>551.412</v>
      </c>
      <c r="O29" s="10">
        <f t="shared" si="3"/>
        <v>27.03</v>
      </c>
      <c r="P29" s="10">
        <f t="shared" si="4"/>
        <v>40.545</v>
      </c>
      <c r="Q29" s="10">
        <f t="shared" si="5"/>
        <v>220.5648</v>
      </c>
      <c r="R29" s="10">
        <f t="shared" si="6"/>
        <v>225.1599</v>
      </c>
      <c r="S29" s="10">
        <f t="shared" si="7"/>
        <v>75.0533</v>
      </c>
      <c r="T29" s="10">
        <f t="shared" si="8"/>
        <v>24.017056</v>
      </c>
      <c r="U29" s="10">
        <f t="shared" si="9"/>
        <v>60.04264</v>
      </c>
      <c r="V29" s="10">
        <f t="shared" si="10"/>
        <v>225.1599</v>
      </c>
      <c r="W29" s="10">
        <f t="shared" si="11"/>
        <v>18.012792</v>
      </c>
      <c r="X29" s="10">
        <f t="shared" si="12"/>
        <v>45.03198</v>
      </c>
      <c r="Y29" s="10">
        <f t="shared" si="13"/>
        <v>57.82</v>
      </c>
      <c r="Z29" s="51">
        <f t="shared" si="14"/>
        <v>1569.849368</v>
      </c>
      <c r="AA29" s="52"/>
      <c r="AB29" s="15">
        <f t="shared" si="15"/>
        <v>4326.909368</v>
      </c>
      <c r="AC29" s="18"/>
    </row>
    <row r="30" ht="18.75" customHeight="1">
      <c r="A30" s="54" t="s">
        <v>266</v>
      </c>
      <c r="B30" s="54" t="s">
        <v>94</v>
      </c>
      <c r="C30" s="45" t="s">
        <v>267</v>
      </c>
      <c r="D30" s="46" t="s">
        <v>97</v>
      </c>
      <c r="E30" s="47" t="s">
        <v>95</v>
      </c>
      <c r="F30" s="48">
        <v>44497.0</v>
      </c>
      <c r="G30" s="49">
        <v>2190.0</v>
      </c>
      <c r="H30" s="12"/>
      <c r="I30" s="12"/>
      <c r="J30" s="12"/>
      <c r="K30" s="12"/>
      <c r="L30" s="12"/>
      <c r="M30" s="50">
        <f t="shared" si="16"/>
        <v>2190</v>
      </c>
      <c r="N30" s="10">
        <f t="shared" si="2"/>
        <v>438</v>
      </c>
      <c r="O30" s="10">
        <f t="shared" si="3"/>
        <v>21.9</v>
      </c>
      <c r="P30" s="10">
        <f t="shared" si="4"/>
        <v>32.85</v>
      </c>
      <c r="Q30" s="10">
        <f t="shared" si="5"/>
        <v>175.2</v>
      </c>
      <c r="R30" s="10">
        <f t="shared" si="6"/>
        <v>182.427</v>
      </c>
      <c r="S30" s="10">
        <f t="shared" si="7"/>
        <v>60.809</v>
      </c>
      <c r="T30" s="10">
        <f t="shared" si="8"/>
        <v>19.45888</v>
      </c>
      <c r="U30" s="10">
        <f t="shared" si="9"/>
        <v>48.6472</v>
      </c>
      <c r="V30" s="10">
        <f t="shared" si="10"/>
        <v>182.427</v>
      </c>
      <c r="W30" s="10">
        <f t="shared" si="11"/>
        <v>14.59416</v>
      </c>
      <c r="X30" s="10">
        <f t="shared" si="12"/>
        <v>36.4854</v>
      </c>
      <c r="Y30" s="10">
        <f t="shared" si="13"/>
        <v>88.6</v>
      </c>
      <c r="Z30" s="51">
        <f t="shared" si="14"/>
        <v>1301.39864</v>
      </c>
      <c r="AA30" s="52"/>
      <c r="AB30" s="15">
        <f t="shared" si="15"/>
        <v>3491.39864</v>
      </c>
      <c r="AC30" s="18"/>
    </row>
    <row r="31" ht="18.75" customHeight="1">
      <c r="A31" s="54" t="s">
        <v>266</v>
      </c>
      <c r="B31" s="54" t="s">
        <v>94</v>
      </c>
      <c r="C31" s="45" t="s">
        <v>267</v>
      </c>
      <c r="D31" s="46" t="s">
        <v>288</v>
      </c>
      <c r="E31" s="47" t="s">
        <v>95</v>
      </c>
      <c r="F31" s="48">
        <v>45881.0</v>
      </c>
      <c r="G31" s="49">
        <v>2190.0</v>
      </c>
      <c r="H31" s="12"/>
      <c r="I31" s="12"/>
      <c r="J31" s="12">
        <f>G31*10%</f>
        <v>219</v>
      </c>
      <c r="K31" s="12"/>
      <c r="L31" s="12"/>
      <c r="M31" s="50">
        <f t="shared" si="16"/>
        <v>2409</v>
      </c>
      <c r="N31" s="10">
        <f t="shared" si="2"/>
        <v>481.8</v>
      </c>
      <c r="O31" s="10">
        <f t="shared" si="3"/>
        <v>21.9</v>
      </c>
      <c r="P31" s="10">
        <f t="shared" si="4"/>
        <v>32.85</v>
      </c>
      <c r="Q31" s="10">
        <f t="shared" si="5"/>
        <v>192.72</v>
      </c>
      <c r="R31" s="10">
        <f t="shared" si="6"/>
        <v>182.427</v>
      </c>
      <c r="S31" s="10">
        <f t="shared" si="7"/>
        <v>60.809</v>
      </c>
      <c r="T31" s="10">
        <f t="shared" si="8"/>
        <v>19.45888</v>
      </c>
      <c r="U31" s="10">
        <f t="shared" si="9"/>
        <v>48.6472</v>
      </c>
      <c r="V31" s="10">
        <f t="shared" si="10"/>
        <v>182.427</v>
      </c>
      <c r="W31" s="10">
        <f t="shared" si="11"/>
        <v>14.59416</v>
      </c>
      <c r="X31" s="10">
        <f t="shared" si="12"/>
        <v>36.4854</v>
      </c>
      <c r="Y31" s="10">
        <f t="shared" si="13"/>
        <v>88.6</v>
      </c>
      <c r="Z31" s="51">
        <f t="shared" si="14"/>
        <v>1362.71864</v>
      </c>
      <c r="AA31" s="52"/>
      <c r="AB31" s="15">
        <f t="shared" si="15"/>
        <v>3771.71864</v>
      </c>
      <c r="AC31" s="18"/>
    </row>
    <row r="32" ht="18.75" customHeight="1">
      <c r="A32" s="44" t="s">
        <v>289</v>
      </c>
      <c r="B32" s="54" t="s">
        <v>109</v>
      </c>
      <c r="C32" s="45" t="s">
        <v>267</v>
      </c>
      <c r="D32" s="46" t="s">
        <v>290</v>
      </c>
      <c r="E32" s="47" t="s">
        <v>291</v>
      </c>
      <c r="F32" s="48">
        <v>45905.0</v>
      </c>
      <c r="G32" s="49">
        <v>3880.0</v>
      </c>
      <c r="H32" s="12">
        <f t="shared" ref="H32:H34" si="17">G32*40%</f>
        <v>1552</v>
      </c>
      <c r="I32" s="12"/>
      <c r="J32" s="12"/>
      <c r="K32" s="12"/>
      <c r="L32" s="12"/>
      <c r="M32" s="50">
        <f t="shared" si="16"/>
        <v>5432</v>
      </c>
      <c r="N32" s="10">
        <f t="shared" si="2"/>
        <v>1086.4</v>
      </c>
      <c r="O32" s="10">
        <f t="shared" si="3"/>
        <v>38.8</v>
      </c>
      <c r="P32" s="10">
        <f t="shared" si="4"/>
        <v>58.2</v>
      </c>
      <c r="Q32" s="10">
        <f t="shared" si="5"/>
        <v>434.56</v>
      </c>
      <c r="R32" s="10">
        <f t="shared" si="6"/>
        <v>323.204</v>
      </c>
      <c r="S32" s="10">
        <f t="shared" si="7"/>
        <v>107.7346667</v>
      </c>
      <c r="T32" s="10">
        <f t="shared" si="8"/>
        <v>34.47509333</v>
      </c>
      <c r="U32" s="10">
        <f t="shared" si="9"/>
        <v>86.18773333</v>
      </c>
      <c r="V32" s="10">
        <f t="shared" si="10"/>
        <v>323.204</v>
      </c>
      <c r="W32" s="10">
        <f t="shared" si="11"/>
        <v>25.85632</v>
      </c>
      <c r="X32" s="10">
        <f t="shared" si="12"/>
        <v>64.6408</v>
      </c>
      <c r="Y32" s="10">
        <f t="shared" si="13"/>
        <v>-12.8</v>
      </c>
      <c r="Z32" s="51">
        <f t="shared" si="14"/>
        <v>2570.462613</v>
      </c>
      <c r="AA32" s="57">
        <v>2500.0</v>
      </c>
      <c r="AB32" s="15">
        <f t="shared" si="15"/>
        <v>10502.46261</v>
      </c>
      <c r="AC32" s="18"/>
    </row>
    <row r="33" ht="18.75" customHeight="1">
      <c r="A33" s="44" t="s">
        <v>289</v>
      </c>
      <c r="B33" s="54" t="s">
        <v>109</v>
      </c>
      <c r="C33" s="45" t="s">
        <v>267</v>
      </c>
      <c r="D33" s="46" t="s">
        <v>111</v>
      </c>
      <c r="E33" s="47" t="s">
        <v>292</v>
      </c>
      <c r="F33" s="48">
        <v>45605.0</v>
      </c>
      <c r="G33" s="49">
        <v>3710.0</v>
      </c>
      <c r="H33" s="12">
        <f t="shared" si="17"/>
        <v>1484</v>
      </c>
      <c r="I33" s="12"/>
      <c r="J33" s="12"/>
      <c r="K33" s="12"/>
      <c r="L33" s="12"/>
      <c r="M33" s="50">
        <f t="shared" si="16"/>
        <v>5194</v>
      </c>
      <c r="N33" s="10">
        <f t="shared" si="2"/>
        <v>1038.8</v>
      </c>
      <c r="O33" s="10">
        <f t="shared" si="3"/>
        <v>37.1</v>
      </c>
      <c r="P33" s="10">
        <f t="shared" si="4"/>
        <v>55.65</v>
      </c>
      <c r="Q33" s="10">
        <f t="shared" si="5"/>
        <v>415.52</v>
      </c>
      <c r="R33" s="10">
        <f t="shared" si="6"/>
        <v>309.043</v>
      </c>
      <c r="S33" s="10">
        <f t="shared" si="7"/>
        <v>103.0143333</v>
      </c>
      <c r="T33" s="10">
        <f t="shared" si="8"/>
        <v>32.96458667</v>
      </c>
      <c r="U33" s="10">
        <f t="shared" si="9"/>
        <v>82.41146667</v>
      </c>
      <c r="V33" s="10">
        <f t="shared" si="10"/>
        <v>309.043</v>
      </c>
      <c r="W33" s="10">
        <f t="shared" si="11"/>
        <v>24.72344</v>
      </c>
      <c r="X33" s="10">
        <f t="shared" si="12"/>
        <v>61.8086</v>
      </c>
      <c r="Y33" s="10">
        <f t="shared" si="13"/>
        <v>-2.6</v>
      </c>
      <c r="Z33" s="51">
        <f t="shared" si="14"/>
        <v>2467.478427</v>
      </c>
      <c r="AA33" s="57">
        <v>2477.92</v>
      </c>
      <c r="AB33" s="15">
        <f t="shared" si="15"/>
        <v>10139.39843</v>
      </c>
      <c r="AC33" s="18"/>
    </row>
    <row r="34" ht="18.75" customHeight="1">
      <c r="A34" s="44" t="s">
        <v>289</v>
      </c>
      <c r="B34" s="54" t="s">
        <v>109</v>
      </c>
      <c r="C34" s="45" t="s">
        <v>267</v>
      </c>
      <c r="D34" s="46" t="s">
        <v>115</v>
      </c>
      <c r="E34" s="47" t="s">
        <v>293</v>
      </c>
      <c r="F34" s="48">
        <v>44327.0</v>
      </c>
      <c r="G34" s="49">
        <v>3561.0</v>
      </c>
      <c r="H34" s="12">
        <f t="shared" si="17"/>
        <v>1424.4</v>
      </c>
      <c r="I34" s="12"/>
      <c r="J34" s="12"/>
      <c r="K34" s="12"/>
      <c r="L34" s="12"/>
      <c r="M34" s="50">
        <f t="shared" si="16"/>
        <v>4985.4</v>
      </c>
      <c r="N34" s="10">
        <f t="shared" si="2"/>
        <v>997.08</v>
      </c>
      <c r="O34" s="10">
        <f t="shared" si="3"/>
        <v>35.61</v>
      </c>
      <c r="P34" s="10">
        <f t="shared" si="4"/>
        <v>53.415</v>
      </c>
      <c r="Q34" s="10">
        <f t="shared" si="5"/>
        <v>398.832</v>
      </c>
      <c r="R34" s="10">
        <f t="shared" si="6"/>
        <v>296.6313</v>
      </c>
      <c r="S34" s="10">
        <f t="shared" si="7"/>
        <v>98.8771</v>
      </c>
      <c r="T34" s="10">
        <f t="shared" si="8"/>
        <v>31.640672</v>
      </c>
      <c r="U34" s="10">
        <f t="shared" si="9"/>
        <v>79.10168</v>
      </c>
      <c r="V34" s="10">
        <f t="shared" si="10"/>
        <v>296.6313</v>
      </c>
      <c r="W34" s="10">
        <f t="shared" si="11"/>
        <v>23.730504</v>
      </c>
      <c r="X34" s="10">
        <f t="shared" si="12"/>
        <v>59.32626</v>
      </c>
      <c r="Y34" s="10">
        <f t="shared" si="13"/>
        <v>6.34</v>
      </c>
      <c r="Z34" s="51">
        <f t="shared" si="14"/>
        <v>2377.215816</v>
      </c>
      <c r="AA34" s="52"/>
      <c r="AB34" s="15">
        <f t="shared" si="15"/>
        <v>7362.615816</v>
      </c>
      <c r="AC34" s="18"/>
    </row>
    <row r="35" ht="18.75" customHeight="1">
      <c r="A35" s="44" t="s">
        <v>289</v>
      </c>
      <c r="B35" s="54" t="s">
        <v>109</v>
      </c>
      <c r="C35" s="45" t="s">
        <v>267</v>
      </c>
      <c r="D35" s="46" t="s">
        <v>294</v>
      </c>
      <c r="E35" s="47" t="s">
        <v>114</v>
      </c>
      <c r="F35" s="48">
        <v>46017.0</v>
      </c>
      <c r="G35" s="49">
        <v>3500.0</v>
      </c>
      <c r="H35" s="12"/>
      <c r="I35" s="12"/>
      <c r="J35" s="12"/>
      <c r="K35" s="12"/>
      <c r="L35" s="12"/>
      <c r="M35" s="50">
        <f t="shared" si="16"/>
        <v>3500</v>
      </c>
      <c r="N35" s="10">
        <f t="shared" si="2"/>
        <v>700</v>
      </c>
      <c r="O35" s="10">
        <f t="shared" si="3"/>
        <v>35</v>
      </c>
      <c r="P35" s="10">
        <f t="shared" si="4"/>
        <v>52.5</v>
      </c>
      <c r="Q35" s="10">
        <f t="shared" si="5"/>
        <v>280</v>
      </c>
      <c r="R35" s="10">
        <f t="shared" si="6"/>
        <v>291.55</v>
      </c>
      <c r="S35" s="10">
        <f t="shared" si="7"/>
        <v>97.18333333</v>
      </c>
      <c r="T35" s="10">
        <f t="shared" si="8"/>
        <v>31.09866667</v>
      </c>
      <c r="U35" s="10">
        <f t="shared" si="9"/>
        <v>77.74666667</v>
      </c>
      <c r="V35" s="10">
        <f t="shared" si="10"/>
        <v>291.55</v>
      </c>
      <c r="W35" s="10">
        <f t="shared" si="11"/>
        <v>23.324</v>
      </c>
      <c r="X35" s="10">
        <f t="shared" si="12"/>
        <v>58.31</v>
      </c>
      <c r="Y35" s="10">
        <f t="shared" si="13"/>
        <v>10</v>
      </c>
      <c r="Z35" s="51">
        <f t="shared" si="14"/>
        <v>1948.262667</v>
      </c>
      <c r="AA35" s="52"/>
      <c r="AB35" s="15">
        <f t="shared" si="15"/>
        <v>5448.262667</v>
      </c>
      <c r="AC35" s="18"/>
    </row>
    <row r="36" ht="18.75" customHeight="1">
      <c r="A36" s="44" t="s">
        <v>289</v>
      </c>
      <c r="B36" s="54" t="s">
        <v>109</v>
      </c>
      <c r="C36" s="45" t="s">
        <v>267</v>
      </c>
      <c r="D36" s="46" t="s">
        <v>118</v>
      </c>
      <c r="E36" s="47" t="s">
        <v>295</v>
      </c>
      <c r="F36" s="48">
        <v>44546.0</v>
      </c>
      <c r="G36" s="49">
        <v>2905.0</v>
      </c>
      <c r="H36" s="12"/>
      <c r="I36" s="12"/>
      <c r="J36" s="12"/>
      <c r="K36" s="12"/>
      <c r="L36" s="12"/>
      <c r="M36" s="50">
        <f t="shared" si="16"/>
        <v>2905</v>
      </c>
      <c r="N36" s="10">
        <f t="shared" si="2"/>
        <v>581</v>
      </c>
      <c r="O36" s="10">
        <f t="shared" si="3"/>
        <v>29.05</v>
      </c>
      <c r="P36" s="10">
        <f t="shared" si="4"/>
        <v>43.575</v>
      </c>
      <c r="Q36" s="10">
        <f t="shared" si="5"/>
        <v>232.4</v>
      </c>
      <c r="R36" s="10">
        <f t="shared" si="6"/>
        <v>241.9865</v>
      </c>
      <c r="S36" s="10">
        <f t="shared" si="7"/>
        <v>80.66216667</v>
      </c>
      <c r="T36" s="10">
        <f t="shared" si="8"/>
        <v>25.81189333</v>
      </c>
      <c r="U36" s="10">
        <f t="shared" si="9"/>
        <v>64.52973333</v>
      </c>
      <c r="V36" s="10">
        <f t="shared" si="10"/>
        <v>241.9865</v>
      </c>
      <c r="W36" s="10">
        <f t="shared" si="11"/>
        <v>19.35892</v>
      </c>
      <c r="X36" s="10">
        <f t="shared" si="12"/>
        <v>48.3973</v>
      </c>
      <c r="Y36" s="10">
        <f t="shared" si="13"/>
        <v>45.7</v>
      </c>
      <c r="Z36" s="51">
        <f t="shared" si="14"/>
        <v>1654.458013</v>
      </c>
      <c r="AA36" s="52"/>
      <c r="AB36" s="15">
        <f t="shared" si="15"/>
        <v>4559.458013</v>
      </c>
      <c r="AC36" s="18"/>
    </row>
    <row r="37" ht="18.75" customHeight="1">
      <c r="A37" s="44" t="s">
        <v>289</v>
      </c>
      <c r="B37" s="54" t="s">
        <v>109</v>
      </c>
      <c r="C37" s="45" t="s">
        <v>267</v>
      </c>
      <c r="D37" s="46" t="s">
        <v>119</v>
      </c>
      <c r="E37" s="47" t="s">
        <v>296</v>
      </c>
      <c r="F37" s="48">
        <v>44425.0</v>
      </c>
      <c r="G37" s="49">
        <v>2770.0</v>
      </c>
      <c r="H37" s="12"/>
      <c r="I37" s="12"/>
      <c r="J37" s="12"/>
      <c r="K37" s="12"/>
      <c r="L37" s="12"/>
      <c r="M37" s="50">
        <f t="shared" si="16"/>
        <v>2770</v>
      </c>
      <c r="N37" s="10">
        <f t="shared" si="2"/>
        <v>554</v>
      </c>
      <c r="O37" s="10">
        <f t="shared" si="3"/>
        <v>27.7</v>
      </c>
      <c r="P37" s="10">
        <f t="shared" si="4"/>
        <v>41.55</v>
      </c>
      <c r="Q37" s="10">
        <f t="shared" si="5"/>
        <v>221.6</v>
      </c>
      <c r="R37" s="10">
        <f t="shared" si="6"/>
        <v>230.741</v>
      </c>
      <c r="S37" s="10">
        <f t="shared" si="7"/>
        <v>76.91366667</v>
      </c>
      <c r="T37" s="10">
        <f t="shared" si="8"/>
        <v>24.61237333</v>
      </c>
      <c r="U37" s="10">
        <f t="shared" si="9"/>
        <v>61.53093333</v>
      </c>
      <c r="V37" s="10">
        <f t="shared" si="10"/>
        <v>230.741</v>
      </c>
      <c r="W37" s="10">
        <f t="shared" si="11"/>
        <v>18.45928</v>
      </c>
      <c r="X37" s="10">
        <f t="shared" si="12"/>
        <v>46.1482</v>
      </c>
      <c r="Y37" s="10">
        <f t="shared" si="13"/>
        <v>53.8</v>
      </c>
      <c r="Z37" s="51">
        <f t="shared" si="14"/>
        <v>1587.796453</v>
      </c>
      <c r="AA37" s="52"/>
      <c r="AB37" s="15">
        <f t="shared" si="15"/>
        <v>4357.796453</v>
      </c>
      <c r="AC37" s="18"/>
    </row>
    <row r="38" ht="18.75" customHeight="1">
      <c r="A38" s="44" t="s">
        <v>289</v>
      </c>
      <c r="B38" s="54" t="s">
        <v>109</v>
      </c>
      <c r="C38" s="45" t="s">
        <v>267</v>
      </c>
      <c r="D38" s="46" t="s">
        <v>121</v>
      </c>
      <c r="E38" s="47" t="s">
        <v>296</v>
      </c>
      <c r="F38" s="48">
        <v>45597.0</v>
      </c>
      <c r="G38" s="49">
        <v>2770.0</v>
      </c>
      <c r="H38" s="12"/>
      <c r="I38" s="12"/>
      <c r="J38" s="12">
        <f>G38*10%</f>
        <v>277</v>
      </c>
      <c r="K38" s="12"/>
      <c r="L38" s="12"/>
      <c r="M38" s="50">
        <f t="shared" si="16"/>
        <v>3047</v>
      </c>
      <c r="N38" s="10">
        <f t="shared" si="2"/>
        <v>609.4</v>
      </c>
      <c r="O38" s="10">
        <f t="shared" si="3"/>
        <v>27.7</v>
      </c>
      <c r="P38" s="10">
        <f t="shared" si="4"/>
        <v>41.55</v>
      </c>
      <c r="Q38" s="10">
        <f t="shared" si="5"/>
        <v>243.76</v>
      </c>
      <c r="R38" s="10">
        <f t="shared" si="6"/>
        <v>230.741</v>
      </c>
      <c r="S38" s="10">
        <f t="shared" si="7"/>
        <v>76.91366667</v>
      </c>
      <c r="T38" s="10">
        <f t="shared" si="8"/>
        <v>24.61237333</v>
      </c>
      <c r="U38" s="10">
        <f t="shared" si="9"/>
        <v>61.53093333</v>
      </c>
      <c r="V38" s="10">
        <f t="shared" si="10"/>
        <v>230.741</v>
      </c>
      <c r="W38" s="10">
        <f t="shared" si="11"/>
        <v>18.45928</v>
      </c>
      <c r="X38" s="10">
        <f t="shared" si="12"/>
        <v>46.1482</v>
      </c>
      <c r="Y38" s="10">
        <f t="shared" si="13"/>
        <v>53.8</v>
      </c>
      <c r="Z38" s="51">
        <f t="shared" si="14"/>
        <v>1665.356453</v>
      </c>
      <c r="AA38" s="52"/>
      <c r="AB38" s="15">
        <f t="shared" si="15"/>
        <v>4712.356453</v>
      </c>
      <c r="AC38" s="18"/>
    </row>
    <row r="39" ht="18.75" customHeight="1">
      <c r="A39" s="44" t="s">
        <v>289</v>
      </c>
      <c r="B39" s="54" t="s">
        <v>109</v>
      </c>
      <c r="C39" s="53" t="s">
        <v>277</v>
      </c>
      <c r="D39" s="46"/>
      <c r="E39" s="47" t="s">
        <v>296</v>
      </c>
      <c r="F39" s="48"/>
      <c r="G39" s="49">
        <v>0.0</v>
      </c>
      <c r="H39" s="12"/>
      <c r="I39" s="12"/>
      <c r="J39" s="12"/>
      <c r="K39" s="12"/>
      <c r="L39" s="12"/>
      <c r="M39" s="50">
        <f t="shared" si="16"/>
        <v>0</v>
      </c>
      <c r="N39" s="10">
        <f t="shared" si="2"/>
        <v>0</v>
      </c>
      <c r="O39" s="10">
        <f t="shared" si="3"/>
        <v>0</v>
      </c>
      <c r="P39" s="10">
        <f t="shared" si="4"/>
        <v>0</v>
      </c>
      <c r="Q39" s="10">
        <f t="shared" si="5"/>
        <v>0</v>
      </c>
      <c r="R39" s="10">
        <f t="shared" si="6"/>
        <v>0</v>
      </c>
      <c r="S39" s="10">
        <f t="shared" si="7"/>
        <v>0</v>
      </c>
      <c r="T39" s="10">
        <f t="shared" si="8"/>
        <v>0</v>
      </c>
      <c r="U39" s="10">
        <f t="shared" si="9"/>
        <v>0</v>
      </c>
      <c r="V39" s="10">
        <f t="shared" si="10"/>
        <v>0</v>
      </c>
      <c r="W39" s="10">
        <f t="shared" si="11"/>
        <v>0</v>
      </c>
      <c r="X39" s="10">
        <f t="shared" si="12"/>
        <v>0</v>
      </c>
      <c r="Y39" s="10">
        <f t="shared" si="13"/>
        <v>0</v>
      </c>
      <c r="Z39" s="51">
        <f t="shared" si="14"/>
        <v>0</v>
      </c>
      <c r="AA39" s="52"/>
      <c r="AB39" s="15">
        <f t="shared" si="15"/>
        <v>0</v>
      </c>
      <c r="AC39" s="18"/>
    </row>
    <row r="40" ht="18.75" customHeight="1">
      <c r="A40" s="44" t="s">
        <v>289</v>
      </c>
      <c r="B40" s="54" t="s">
        <v>109</v>
      </c>
      <c r="C40" s="45" t="s">
        <v>267</v>
      </c>
      <c r="D40" s="46" t="s">
        <v>297</v>
      </c>
      <c r="E40" s="47" t="s">
        <v>298</v>
      </c>
      <c r="F40" s="48">
        <v>46013.0</v>
      </c>
      <c r="G40" s="49">
        <v>2190.0</v>
      </c>
      <c r="H40" s="12"/>
      <c r="I40" s="12"/>
      <c r="J40" s="12"/>
      <c r="K40" s="12"/>
      <c r="L40" s="12"/>
      <c r="M40" s="50">
        <f t="shared" si="16"/>
        <v>2190</v>
      </c>
      <c r="N40" s="10">
        <f t="shared" si="2"/>
        <v>438</v>
      </c>
      <c r="O40" s="10">
        <f t="shared" si="3"/>
        <v>21.9</v>
      </c>
      <c r="P40" s="10">
        <f t="shared" si="4"/>
        <v>32.85</v>
      </c>
      <c r="Q40" s="10">
        <f t="shared" si="5"/>
        <v>175.2</v>
      </c>
      <c r="R40" s="10">
        <f t="shared" si="6"/>
        <v>182.427</v>
      </c>
      <c r="S40" s="10">
        <f t="shared" si="7"/>
        <v>60.809</v>
      </c>
      <c r="T40" s="10">
        <f t="shared" si="8"/>
        <v>19.45888</v>
      </c>
      <c r="U40" s="10">
        <f t="shared" si="9"/>
        <v>48.6472</v>
      </c>
      <c r="V40" s="10">
        <f t="shared" si="10"/>
        <v>182.427</v>
      </c>
      <c r="W40" s="10">
        <f t="shared" si="11"/>
        <v>14.59416</v>
      </c>
      <c r="X40" s="10">
        <f t="shared" si="12"/>
        <v>36.4854</v>
      </c>
      <c r="Y40" s="10">
        <f t="shared" si="13"/>
        <v>88.6</v>
      </c>
      <c r="Z40" s="51">
        <f t="shared" si="14"/>
        <v>1301.39864</v>
      </c>
      <c r="AA40" s="52"/>
      <c r="AB40" s="15">
        <f t="shared" si="15"/>
        <v>3491.39864</v>
      </c>
      <c r="AC40" s="18"/>
    </row>
    <row r="41" ht="18.75" customHeight="1">
      <c r="A41" s="44" t="s">
        <v>289</v>
      </c>
      <c r="B41" s="54" t="s">
        <v>109</v>
      </c>
      <c r="C41" s="53" t="s">
        <v>277</v>
      </c>
      <c r="D41" s="46"/>
      <c r="E41" s="47" t="s">
        <v>298</v>
      </c>
      <c r="F41" s="48"/>
      <c r="G41" s="49">
        <v>0.0</v>
      </c>
      <c r="H41" s="12"/>
      <c r="I41" s="12"/>
      <c r="J41" s="12"/>
      <c r="K41" s="12"/>
      <c r="L41" s="12"/>
      <c r="M41" s="50">
        <f t="shared" si="16"/>
        <v>0</v>
      </c>
      <c r="N41" s="10">
        <f t="shared" si="2"/>
        <v>0</v>
      </c>
      <c r="O41" s="10">
        <f t="shared" si="3"/>
        <v>0</v>
      </c>
      <c r="P41" s="10">
        <f t="shared" si="4"/>
        <v>0</v>
      </c>
      <c r="Q41" s="10">
        <f t="shared" si="5"/>
        <v>0</v>
      </c>
      <c r="R41" s="10">
        <f t="shared" si="6"/>
        <v>0</v>
      </c>
      <c r="S41" s="10">
        <f t="shared" si="7"/>
        <v>0</v>
      </c>
      <c r="T41" s="10">
        <f t="shared" si="8"/>
        <v>0</v>
      </c>
      <c r="U41" s="10">
        <f t="shared" si="9"/>
        <v>0</v>
      </c>
      <c r="V41" s="10">
        <f t="shared" si="10"/>
        <v>0</v>
      </c>
      <c r="W41" s="10">
        <f t="shared" si="11"/>
        <v>0</v>
      </c>
      <c r="X41" s="10">
        <f t="shared" si="12"/>
        <v>0</v>
      </c>
      <c r="Y41" s="10">
        <f t="shared" si="13"/>
        <v>0</v>
      </c>
      <c r="Z41" s="51">
        <f t="shared" si="14"/>
        <v>0</v>
      </c>
      <c r="AA41" s="52"/>
      <c r="AB41" s="15">
        <f t="shared" si="15"/>
        <v>0</v>
      </c>
      <c r="AC41" s="18"/>
    </row>
    <row r="42" ht="18.75" customHeight="1">
      <c r="A42" s="44" t="s">
        <v>289</v>
      </c>
      <c r="B42" s="54" t="s">
        <v>109</v>
      </c>
      <c r="C42" s="45" t="s">
        <v>267</v>
      </c>
      <c r="D42" s="46" t="s">
        <v>126</v>
      </c>
      <c r="E42" s="47" t="s">
        <v>299</v>
      </c>
      <c r="F42" s="48">
        <v>45806.0</v>
      </c>
      <c r="G42" s="49">
        <v>3485.0</v>
      </c>
      <c r="H42" s="12"/>
      <c r="I42" s="12"/>
      <c r="J42" s="12"/>
      <c r="K42" s="12"/>
      <c r="L42" s="12"/>
      <c r="M42" s="50">
        <f t="shared" si="16"/>
        <v>3485</v>
      </c>
      <c r="N42" s="10">
        <f t="shared" si="2"/>
        <v>697</v>
      </c>
      <c r="O42" s="10">
        <f t="shared" si="3"/>
        <v>34.85</v>
      </c>
      <c r="P42" s="10">
        <f t="shared" si="4"/>
        <v>52.275</v>
      </c>
      <c r="Q42" s="10">
        <f t="shared" si="5"/>
        <v>278.8</v>
      </c>
      <c r="R42" s="10">
        <f t="shared" si="6"/>
        <v>290.3005</v>
      </c>
      <c r="S42" s="10">
        <f t="shared" si="7"/>
        <v>96.76683333</v>
      </c>
      <c r="T42" s="10">
        <f t="shared" si="8"/>
        <v>30.96538667</v>
      </c>
      <c r="U42" s="10">
        <f t="shared" si="9"/>
        <v>77.41346667</v>
      </c>
      <c r="V42" s="10">
        <f t="shared" si="10"/>
        <v>290.3005</v>
      </c>
      <c r="W42" s="10">
        <f t="shared" si="11"/>
        <v>23.22404</v>
      </c>
      <c r="X42" s="10">
        <f t="shared" si="12"/>
        <v>58.0601</v>
      </c>
      <c r="Y42" s="10">
        <f t="shared" si="13"/>
        <v>10.9</v>
      </c>
      <c r="Z42" s="51">
        <f t="shared" si="14"/>
        <v>1940.855827</v>
      </c>
      <c r="AA42" s="52"/>
      <c r="AB42" s="15">
        <f t="shared" si="15"/>
        <v>5425.855827</v>
      </c>
      <c r="AC42" s="18"/>
    </row>
    <row r="43" ht="18.75" customHeight="1">
      <c r="A43" s="44" t="s">
        <v>289</v>
      </c>
      <c r="B43" s="54" t="s">
        <v>109</v>
      </c>
      <c r="C43" s="53" t="s">
        <v>277</v>
      </c>
      <c r="D43" s="46"/>
      <c r="E43" s="47" t="s">
        <v>300</v>
      </c>
      <c r="F43" s="48"/>
      <c r="G43" s="49">
        <v>0.0</v>
      </c>
      <c r="H43" s="12"/>
      <c r="I43" s="12"/>
      <c r="J43" s="12"/>
      <c r="K43" s="12"/>
      <c r="L43" s="12"/>
      <c r="M43" s="50">
        <f t="shared" si="16"/>
        <v>0</v>
      </c>
      <c r="N43" s="10">
        <f t="shared" si="2"/>
        <v>0</v>
      </c>
      <c r="O43" s="10">
        <f t="shared" si="3"/>
        <v>0</v>
      </c>
      <c r="P43" s="10">
        <f t="shared" si="4"/>
        <v>0</v>
      </c>
      <c r="Q43" s="10">
        <f t="shared" si="5"/>
        <v>0</v>
      </c>
      <c r="R43" s="10">
        <f t="shared" si="6"/>
        <v>0</v>
      </c>
      <c r="S43" s="10">
        <f t="shared" si="7"/>
        <v>0</v>
      </c>
      <c r="T43" s="10">
        <f t="shared" si="8"/>
        <v>0</v>
      </c>
      <c r="U43" s="10">
        <f t="shared" si="9"/>
        <v>0</v>
      </c>
      <c r="V43" s="10">
        <f t="shared" si="10"/>
        <v>0</v>
      </c>
      <c r="W43" s="10">
        <f t="shared" si="11"/>
        <v>0</v>
      </c>
      <c r="X43" s="10">
        <f t="shared" si="12"/>
        <v>0</v>
      </c>
      <c r="Y43" s="10">
        <f t="shared" si="13"/>
        <v>0</v>
      </c>
      <c r="Z43" s="51">
        <f t="shared" si="14"/>
        <v>0</v>
      </c>
      <c r="AA43" s="52"/>
      <c r="AB43" s="15">
        <f t="shared" si="15"/>
        <v>0</v>
      </c>
      <c r="AC43" s="18"/>
    </row>
    <row r="44" ht="18.75" customHeight="1">
      <c r="A44" s="44" t="s">
        <v>289</v>
      </c>
      <c r="B44" s="54" t="s">
        <v>109</v>
      </c>
      <c r="C44" s="45" t="s">
        <v>267</v>
      </c>
      <c r="D44" s="46" t="s">
        <v>301</v>
      </c>
      <c r="E44" s="47" t="s">
        <v>302</v>
      </c>
      <c r="F44" s="48">
        <v>46014.0</v>
      </c>
      <c r="G44" s="49">
        <v>2190.0</v>
      </c>
      <c r="H44" s="12"/>
      <c r="I44" s="12"/>
      <c r="J44" s="12"/>
      <c r="K44" s="12"/>
      <c r="L44" s="12"/>
      <c r="M44" s="50">
        <f t="shared" si="16"/>
        <v>2190</v>
      </c>
      <c r="N44" s="10">
        <f t="shared" si="2"/>
        <v>438</v>
      </c>
      <c r="O44" s="10">
        <f t="shared" si="3"/>
        <v>21.9</v>
      </c>
      <c r="P44" s="10">
        <f t="shared" si="4"/>
        <v>32.85</v>
      </c>
      <c r="Q44" s="10">
        <f t="shared" si="5"/>
        <v>175.2</v>
      </c>
      <c r="R44" s="10">
        <f t="shared" si="6"/>
        <v>182.427</v>
      </c>
      <c r="S44" s="10">
        <f t="shared" si="7"/>
        <v>60.809</v>
      </c>
      <c r="T44" s="10">
        <f t="shared" si="8"/>
        <v>19.45888</v>
      </c>
      <c r="U44" s="10">
        <f t="shared" si="9"/>
        <v>48.6472</v>
      </c>
      <c r="V44" s="10">
        <f t="shared" si="10"/>
        <v>182.427</v>
      </c>
      <c r="W44" s="10">
        <f t="shared" si="11"/>
        <v>14.59416</v>
      </c>
      <c r="X44" s="10">
        <f t="shared" si="12"/>
        <v>36.4854</v>
      </c>
      <c r="Y44" s="10">
        <f t="shared" si="13"/>
        <v>88.6</v>
      </c>
      <c r="Z44" s="51">
        <f t="shared" si="14"/>
        <v>1301.39864</v>
      </c>
      <c r="AA44" s="52"/>
      <c r="AB44" s="15">
        <f t="shared" si="15"/>
        <v>3491.39864</v>
      </c>
      <c r="AC44" s="18"/>
    </row>
    <row r="45" ht="18.75" customHeight="1">
      <c r="A45" s="44" t="s">
        <v>289</v>
      </c>
      <c r="B45" s="54" t="s">
        <v>109</v>
      </c>
      <c r="C45" s="45" t="s">
        <v>267</v>
      </c>
      <c r="D45" s="46" t="s">
        <v>130</v>
      </c>
      <c r="E45" s="47" t="s">
        <v>302</v>
      </c>
      <c r="F45" s="48">
        <v>45814.0</v>
      </c>
      <c r="G45" s="49">
        <v>2190.0</v>
      </c>
      <c r="H45" s="12"/>
      <c r="I45" s="12"/>
      <c r="J45" s="12"/>
      <c r="K45" s="12"/>
      <c r="L45" s="12"/>
      <c r="M45" s="50">
        <f t="shared" si="16"/>
        <v>2190</v>
      </c>
      <c r="N45" s="10">
        <f t="shared" si="2"/>
        <v>438</v>
      </c>
      <c r="O45" s="10">
        <f t="shared" si="3"/>
        <v>21.9</v>
      </c>
      <c r="P45" s="10">
        <f t="shared" si="4"/>
        <v>32.85</v>
      </c>
      <c r="Q45" s="10">
        <f t="shared" si="5"/>
        <v>175.2</v>
      </c>
      <c r="R45" s="10">
        <f t="shared" si="6"/>
        <v>182.427</v>
      </c>
      <c r="S45" s="10">
        <f t="shared" si="7"/>
        <v>60.809</v>
      </c>
      <c r="T45" s="10">
        <f t="shared" si="8"/>
        <v>19.45888</v>
      </c>
      <c r="U45" s="10">
        <f t="shared" si="9"/>
        <v>48.6472</v>
      </c>
      <c r="V45" s="10">
        <f t="shared" si="10"/>
        <v>182.427</v>
      </c>
      <c r="W45" s="10">
        <f t="shared" si="11"/>
        <v>14.59416</v>
      </c>
      <c r="X45" s="10">
        <f t="shared" si="12"/>
        <v>36.4854</v>
      </c>
      <c r="Y45" s="10">
        <f t="shared" si="13"/>
        <v>88.6</v>
      </c>
      <c r="Z45" s="51">
        <f t="shared" si="14"/>
        <v>1301.39864</v>
      </c>
      <c r="AA45" s="52"/>
      <c r="AB45" s="15">
        <f t="shared" si="15"/>
        <v>3491.39864</v>
      </c>
      <c r="AC45" s="18"/>
    </row>
    <row r="46" ht="18.75" customHeight="1">
      <c r="A46" s="44" t="s">
        <v>289</v>
      </c>
      <c r="B46" s="54" t="s">
        <v>109</v>
      </c>
      <c r="C46" s="45" t="s">
        <v>267</v>
      </c>
      <c r="D46" s="46" t="s">
        <v>303</v>
      </c>
      <c r="E46" s="47" t="s">
        <v>302</v>
      </c>
      <c r="F46" s="48">
        <v>46014.0</v>
      </c>
      <c r="G46" s="49">
        <v>2190.0</v>
      </c>
      <c r="H46" s="12"/>
      <c r="I46" s="12"/>
      <c r="J46" s="12"/>
      <c r="K46" s="12"/>
      <c r="L46" s="12"/>
      <c r="M46" s="50">
        <f t="shared" si="16"/>
        <v>2190</v>
      </c>
      <c r="N46" s="10">
        <f t="shared" si="2"/>
        <v>438</v>
      </c>
      <c r="O46" s="10">
        <f t="shared" si="3"/>
        <v>21.9</v>
      </c>
      <c r="P46" s="10">
        <f t="shared" si="4"/>
        <v>32.85</v>
      </c>
      <c r="Q46" s="10">
        <f t="shared" si="5"/>
        <v>175.2</v>
      </c>
      <c r="R46" s="10">
        <f t="shared" si="6"/>
        <v>182.427</v>
      </c>
      <c r="S46" s="10">
        <f t="shared" si="7"/>
        <v>60.809</v>
      </c>
      <c r="T46" s="10">
        <f t="shared" si="8"/>
        <v>19.45888</v>
      </c>
      <c r="U46" s="10">
        <f t="shared" si="9"/>
        <v>48.6472</v>
      </c>
      <c r="V46" s="10">
        <f t="shared" si="10"/>
        <v>182.427</v>
      </c>
      <c r="W46" s="10">
        <f t="shared" si="11"/>
        <v>14.59416</v>
      </c>
      <c r="X46" s="10">
        <f t="shared" si="12"/>
        <v>36.4854</v>
      </c>
      <c r="Y46" s="10">
        <f t="shared" si="13"/>
        <v>88.6</v>
      </c>
      <c r="Z46" s="51">
        <f t="shared" si="14"/>
        <v>1301.39864</v>
      </c>
      <c r="AA46" s="52"/>
      <c r="AB46" s="15">
        <f t="shared" si="15"/>
        <v>3491.39864</v>
      </c>
      <c r="AC46" s="18"/>
    </row>
    <row r="47" ht="18.75" customHeight="1">
      <c r="A47" s="44" t="s">
        <v>289</v>
      </c>
      <c r="B47" s="54" t="s">
        <v>109</v>
      </c>
      <c r="C47" s="45" t="s">
        <v>267</v>
      </c>
      <c r="D47" s="46" t="s">
        <v>128</v>
      </c>
      <c r="E47" s="47" t="s">
        <v>302</v>
      </c>
      <c r="F47" s="48">
        <v>45784.0</v>
      </c>
      <c r="G47" s="49">
        <v>2190.0</v>
      </c>
      <c r="H47" s="12"/>
      <c r="I47" s="12"/>
      <c r="J47" s="12"/>
      <c r="K47" s="12"/>
      <c r="L47" s="12"/>
      <c r="M47" s="50">
        <f t="shared" si="16"/>
        <v>2190</v>
      </c>
      <c r="N47" s="10">
        <f t="shared" si="2"/>
        <v>438</v>
      </c>
      <c r="O47" s="10">
        <f t="shared" si="3"/>
        <v>21.9</v>
      </c>
      <c r="P47" s="10">
        <f t="shared" si="4"/>
        <v>32.85</v>
      </c>
      <c r="Q47" s="10">
        <f t="shared" si="5"/>
        <v>175.2</v>
      </c>
      <c r="R47" s="10">
        <f t="shared" si="6"/>
        <v>182.427</v>
      </c>
      <c r="S47" s="10">
        <f t="shared" si="7"/>
        <v>60.809</v>
      </c>
      <c r="T47" s="10">
        <f t="shared" si="8"/>
        <v>19.45888</v>
      </c>
      <c r="U47" s="10">
        <f t="shared" si="9"/>
        <v>48.6472</v>
      </c>
      <c r="V47" s="10">
        <f t="shared" si="10"/>
        <v>182.427</v>
      </c>
      <c r="W47" s="10">
        <f t="shared" si="11"/>
        <v>14.59416</v>
      </c>
      <c r="X47" s="10">
        <f t="shared" si="12"/>
        <v>36.4854</v>
      </c>
      <c r="Y47" s="10">
        <f t="shared" si="13"/>
        <v>88.6</v>
      </c>
      <c r="Z47" s="51">
        <f t="shared" si="14"/>
        <v>1301.39864</v>
      </c>
      <c r="AA47" s="52"/>
      <c r="AB47" s="15">
        <f t="shared" si="15"/>
        <v>3491.39864</v>
      </c>
      <c r="AC47" s="18"/>
    </row>
    <row r="48" ht="18.75" customHeight="1">
      <c r="A48" s="44" t="s">
        <v>289</v>
      </c>
      <c r="B48" s="54" t="s">
        <v>109</v>
      </c>
      <c r="C48" s="58" t="s">
        <v>281</v>
      </c>
      <c r="D48" s="46"/>
      <c r="E48" s="47" t="s">
        <v>302</v>
      </c>
      <c r="F48" s="48"/>
      <c r="G48" s="49">
        <v>0.0</v>
      </c>
      <c r="H48" s="12"/>
      <c r="I48" s="12"/>
      <c r="J48" s="12"/>
      <c r="K48" s="12"/>
      <c r="L48" s="12"/>
      <c r="M48" s="50">
        <f t="shared" si="16"/>
        <v>0</v>
      </c>
      <c r="N48" s="10">
        <f t="shared" si="2"/>
        <v>0</v>
      </c>
      <c r="O48" s="10">
        <f t="shared" si="3"/>
        <v>0</v>
      </c>
      <c r="P48" s="10">
        <f t="shared" si="4"/>
        <v>0</v>
      </c>
      <c r="Q48" s="10">
        <f t="shared" si="5"/>
        <v>0</v>
      </c>
      <c r="R48" s="10">
        <f t="shared" si="6"/>
        <v>0</v>
      </c>
      <c r="S48" s="10">
        <f t="shared" si="7"/>
        <v>0</v>
      </c>
      <c r="T48" s="10">
        <f t="shared" si="8"/>
        <v>0</v>
      </c>
      <c r="U48" s="10">
        <f t="shared" si="9"/>
        <v>0</v>
      </c>
      <c r="V48" s="10">
        <f t="shared" si="10"/>
        <v>0</v>
      </c>
      <c r="W48" s="10">
        <f t="shared" si="11"/>
        <v>0</v>
      </c>
      <c r="X48" s="10">
        <f t="shared" si="12"/>
        <v>0</v>
      </c>
      <c r="Y48" s="10">
        <f t="shared" si="13"/>
        <v>0</v>
      </c>
      <c r="Z48" s="51">
        <f t="shared" si="14"/>
        <v>0</v>
      </c>
      <c r="AA48" s="52"/>
      <c r="AB48" s="15">
        <f t="shared" si="15"/>
        <v>0</v>
      </c>
      <c r="AC48" s="18"/>
    </row>
    <row r="49" ht="18.75" customHeight="1">
      <c r="A49" s="44" t="s">
        <v>289</v>
      </c>
      <c r="B49" s="54" t="s">
        <v>109</v>
      </c>
      <c r="C49" s="45" t="s">
        <v>267</v>
      </c>
      <c r="D49" s="46" t="s">
        <v>304</v>
      </c>
      <c r="E49" s="47" t="s">
        <v>305</v>
      </c>
      <c r="F49" s="48">
        <v>45901.0</v>
      </c>
      <c r="G49" s="49">
        <v>3100.0</v>
      </c>
      <c r="H49" s="12"/>
      <c r="I49" s="12"/>
      <c r="J49" s="12"/>
      <c r="K49" s="12"/>
      <c r="L49" s="12"/>
      <c r="M49" s="50">
        <f t="shared" si="16"/>
        <v>3100</v>
      </c>
      <c r="N49" s="10">
        <f t="shared" si="2"/>
        <v>620</v>
      </c>
      <c r="O49" s="10">
        <f t="shared" si="3"/>
        <v>31</v>
      </c>
      <c r="P49" s="10">
        <f t="shared" si="4"/>
        <v>46.5</v>
      </c>
      <c r="Q49" s="10">
        <f t="shared" si="5"/>
        <v>248</v>
      </c>
      <c r="R49" s="10">
        <f t="shared" si="6"/>
        <v>258.23</v>
      </c>
      <c r="S49" s="10">
        <f t="shared" si="7"/>
        <v>86.07666667</v>
      </c>
      <c r="T49" s="10">
        <f t="shared" si="8"/>
        <v>27.54453333</v>
      </c>
      <c r="U49" s="10">
        <f t="shared" si="9"/>
        <v>68.86133333</v>
      </c>
      <c r="V49" s="10">
        <f t="shared" si="10"/>
        <v>258.23</v>
      </c>
      <c r="W49" s="10">
        <f t="shared" si="11"/>
        <v>20.6584</v>
      </c>
      <c r="X49" s="10">
        <f t="shared" si="12"/>
        <v>51.646</v>
      </c>
      <c r="Y49" s="10">
        <f t="shared" si="13"/>
        <v>34</v>
      </c>
      <c r="Z49" s="51">
        <f t="shared" si="14"/>
        <v>1750.746933</v>
      </c>
      <c r="AA49" s="52"/>
      <c r="AB49" s="15">
        <f t="shared" si="15"/>
        <v>4850.746933</v>
      </c>
      <c r="AC49" s="18"/>
    </row>
    <row r="50" ht="18.75" customHeight="1">
      <c r="A50" s="44" t="s">
        <v>289</v>
      </c>
      <c r="B50" s="54" t="s">
        <v>306</v>
      </c>
      <c r="C50" s="45" t="s">
        <v>267</v>
      </c>
      <c r="D50" s="46" t="s">
        <v>307</v>
      </c>
      <c r="E50" s="47" t="s">
        <v>308</v>
      </c>
      <c r="F50" s="48">
        <v>45968.0</v>
      </c>
      <c r="G50" s="49">
        <v>2282.0</v>
      </c>
      <c r="H50" s="12"/>
      <c r="I50" s="12"/>
      <c r="J50" s="12"/>
      <c r="K50" s="12"/>
      <c r="L50" s="12"/>
      <c r="M50" s="50">
        <f t="shared" si="16"/>
        <v>2282</v>
      </c>
      <c r="N50" s="10">
        <f t="shared" si="2"/>
        <v>456.4</v>
      </c>
      <c r="O50" s="10">
        <f t="shared" si="3"/>
        <v>22.82</v>
      </c>
      <c r="P50" s="10">
        <f t="shared" si="4"/>
        <v>34.23</v>
      </c>
      <c r="Q50" s="10">
        <f t="shared" si="5"/>
        <v>182.56</v>
      </c>
      <c r="R50" s="10">
        <f t="shared" si="6"/>
        <v>190.0906</v>
      </c>
      <c r="S50" s="10">
        <f t="shared" si="7"/>
        <v>63.36353333</v>
      </c>
      <c r="T50" s="10">
        <f t="shared" si="8"/>
        <v>20.27633067</v>
      </c>
      <c r="U50" s="10">
        <f t="shared" si="9"/>
        <v>50.69082667</v>
      </c>
      <c r="V50" s="10">
        <f t="shared" si="10"/>
        <v>190.0906</v>
      </c>
      <c r="W50" s="10">
        <f t="shared" si="11"/>
        <v>15.207248</v>
      </c>
      <c r="X50" s="10">
        <f t="shared" si="12"/>
        <v>38.01812</v>
      </c>
      <c r="Y50" s="10">
        <f t="shared" si="13"/>
        <v>83.08</v>
      </c>
      <c r="Z50" s="51">
        <f t="shared" si="14"/>
        <v>1346.827259</v>
      </c>
      <c r="AA50" s="52"/>
      <c r="AB50" s="15">
        <f t="shared" si="15"/>
        <v>3628.827259</v>
      </c>
      <c r="AC50" s="18"/>
    </row>
    <row r="51" ht="18.75" customHeight="1">
      <c r="A51" s="44" t="s">
        <v>289</v>
      </c>
      <c r="B51" s="54" t="s">
        <v>306</v>
      </c>
      <c r="C51" s="45" t="s">
        <v>267</v>
      </c>
      <c r="D51" s="46" t="s">
        <v>140</v>
      </c>
      <c r="E51" s="47" t="s">
        <v>309</v>
      </c>
      <c r="F51" s="48">
        <v>43028.0</v>
      </c>
      <c r="G51" s="49">
        <v>2510.0</v>
      </c>
      <c r="H51" s="12"/>
      <c r="I51" s="12"/>
      <c r="J51" s="12"/>
      <c r="K51" s="12"/>
      <c r="L51" s="12">
        <f>G51*2%</f>
        <v>50.2</v>
      </c>
      <c r="M51" s="50">
        <f t="shared" si="16"/>
        <v>2560.2</v>
      </c>
      <c r="N51" s="10">
        <f t="shared" si="2"/>
        <v>512.04</v>
      </c>
      <c r="O51" s="10">
        <f t="shared" si="3"/>
        <v>25.1</v>
      </c>
      <c r="P51" s="10">
        <f t="shared" si="4"/>
        <v>37.65</v>
      </c>
      <c r="Q51" s="10">
        <f t="shared" si="5"/>
        <v>204.816</v>
      </c>
      <c r="R51" s="10">
        <f t="shared" si="6"/>
        <v>209.083</v>
      </c>
      <c r="S51" s="10">
        <f t="shared" si="7"/>
        <v>69.69433333</v>
      </c>
      <c r="T51" s="10">
        <f t="shared" si="8"/>
        <v>22.30218667</v>
      </c>
      <c r="U51" s="10">
        <f t="shared" si="9"/>
        <v>55.75546667</v>
      </c>
      <c r="V51" s="10">
        <f t="shared" si="10"/>
        <v>209.083</v>
      </c>
      <c r="W51" s="10">
        <f t="shared" si="11"/>
        <v>16.72664</v>
      </c>
      <c r="X51" s="10">
        <f t="shared" si="12"/>
        <v>41.8166</v>
      </c>
      <c r="Y51" s="10">
        <f t="shared" si="13"/>
        <v>69.4</v>
      </c>
      <c r="Z51" s="51">
        <f t="shared" si="14"/>
        <v>1473.467227</v>
      </c>
      <c r="AA51" s="52"/>
      <c r="AB51" s="15">
        <f t="shared" si="15"/>
        <v>4033.667227</v>
      </c>
      <c r="AC51" s="18"/>
    </row>
    <row r="52" ht="18.75" customHeight="1">
      <c r="A52" s="44" t="s">
        <v>289</v>
      </c>
      <c r="B52" s="54" t="s">
        <v>306</v>
      </c>
      <c r="C52" s="45" t="s">
        <v>267</v>
      </c>
      <c r="D52" s="46" t="s">
        <v>310</v>
      </c>
      <c r="E52" s="47" t="s">
        <v>308</v>
      </c>
      <c r="F52" s="48">
        <v>45870.0</v>
      </c>
      <c r="G52" s="49">
        <v>2282.0</v>
      </c>
      <c r="H52" s="12"/>
      <c r="I52" s="12"/>
      <c r="J52" s="12"/>
      <c r="K52" s="12"/>
      <c r="L52" s="12"/>
      <c r="M52" s="50">
        <f t="shared" si="16"/>
        <v>2282</v>
      </c>
      <c r="N52" s="10">
        <f t="shared" si="2"/>
        <v>456.4</v>
      </c>
      <c r="O52" s="10">
        <f t="shared" si="3"/>
        <v>22.82</v>
      </c>
      <c r="P52" s="10">
        <f t="shared" si="4"/>
        <v>34.23</v>
      </c>
      <c r="Q52" s="10">
        <f t="shared" si="5"/>
        <v>182.56</v>
      </c>
      <c r="R52" s="10">
        <f t="shared" si="6"/>
        <v>190.0906</v>
      </c>
      <c r="S52" s="10">
        <f t="shared" si="7"/>
        <v>63.36353333</v>
      </c>
      <c r="T52" s="10">
        <f t="shared" si="8"/>
        <v>20.27633067</v>
      </c>
      <c r="U52" s="10">
        <f t="shared" si="9"/>
        <v>50.69082667</v>
      </c>
      <c r="V52" s="10">
        <f t="shared" si="10"/>
        <v>190.0906</v>
      </c>
      <c r="W52" s="10">
        <f t="shared" si="11"/>
        <v>15.207248</v>
      </c>
      <c r="X52" s="10">
        <f t="shared" si="12"/>
        <v>38.01812</v>
      </c>
      <c r="Y52" s="10">
        <f t="shared" si="13"/>
        <v>83.08</v>
      </c>
      <c r="Z52" s="51">
        <f t="shared" si="14"/>
        <v>1346.827259</v>
      </c>
      <c r="AA52" s="52"/>
      <c r="AB52" s="15">
        <f t="shared" si="15"/>
        <v>3628.827259</v>
      </c>
      <c r="AC52" s="18"/>
    </row>
    <row r="53" ht="18.75" customHeight="1">
      <c r="A53" s="44" t="s">
        <v>289</v>
      </c>
      <c r="B53" s="54" t="s">
        <v>311</v>
      </c>
      <c r="C53" s="45" t="s">
        <v>267</v>
      </c>
      <c r="D53" s="46" t="s">
        <v>312</v>
      </c>
      <c r="E53" s="47" t="s">
        <v>298</v>
      </c>
      <c r="F53" s="48">
        <v>46017.0</v>
      </c>
      <c r="G53" s="49">
        <v>2190.0</v>
      </c>
      <c r="H53" s="12"/>
      <c r="I53" s="12"/>
      <c r="J53" s="12"/>
      <c r="K53" s="12"/>
      <c r="L53" s="12"/>
      <c r="M53" s="50">
        <f t="shared" si="16"/>
        <v>2190</v>
      </c>
      <c r="N53" s="10">
        <f t="shared" si="2"/>
        <v>438</v>
      </c>
      <c r="O53" s="10">
        <f t="shared" si="3"/>
        <v>21.9</v>
      </c>
      <c r="P53" s="10">
        <f t="shared" si="4"/>
        <v>32.85</v>
      </c>
      <c r="Q53" s="10">
        <f t="shared" si="5"/>
        <v>175.2</v>
      </c>
      <c r="R53" s="10">
        <f t="shared" si="6"/>
        <v>182.427</v>
      </c>
      <c r="S53" s="10">
        <f t="shared" si="7"/>
        <v>60.809</v>
      </c>
      <c r="T53" s="10">
        <f t="shared" si="8"/>
        <v>19.45888</v>
      </c>
      <c r="U53" s="10">
        <f t="shared" si="9"/>
        <v>48.6472</v>
      </c>
      <c r="V53" s="10">
        <f t="shared" si="10"/>
        <v>182.427</v>
      </c>
      <c r="W53" s="10">
        <f t="shared" si="11"/>
        <v>14.59416</v>
      </c>
      <c r="X53" s="10">
        <f t="shared" si="12"/>
        <v>36.4854</v>
      </c>
      <c r="Y53" s="10">
        <f t="shared" si="13"/>
        <v>88.6</v>
      </c>
      <c r="Z53" s="51">
        <f t="shared" si="14"/>
        <v>1301.39864</v>
      </c>
      <c r="AA53" s="52"/>
      <c r="AB53" s="15">
        <f t="shared" si="15"/>
        <v>3491.39864</v>
      </c>
      <c r="AC53" s="18"/>
    </row>
    <row r="54" ht="18.75" customHeight="1">
      <c r="A54" s="44" t="s">
        <v>289</v>
      </c>
      <c r="B54" s="54" t="s">
        <v>313</v>
      </c>
      <c r="C54" s="53" t="s">
        <v>277</v>
      </c>
      <c r="D54" s="46"/>
      <c r="E54" s="47" t="s">
        <v>298</v>
      </c>
      <c r="F54" s="48"/>
      <c r="G54" s="49">
        <v>0.0</v>
      </c>
      <c r="H54" s="12"/>
      <c r="I54" s="12"/>
      <c r="J54" s="12"/>
      <c r="K54" s="12"/>
      <c r="L54" s="12"/>
      <c r="M54" s="50">
        <f t="shared" si="16"/>
        <v>0</v>
      </c>
      <c r="N54" s="10">
        <f t="shared" si="2"/>
        <v>0</v>
      </c>
      <c r="O54" s="10">
        <f t="shared" si="3"/>
        <v>0</v>
      </c>
      <c r="P54" s="10">
        <f t="shared" si="4"/>
        <v>0</v>
      </c>
      <c r="Q54" s="10">
        <f t="shared" si="5"/>
        <v>0</v>
      </c>
      <c r="R54" s="10">
        <f t="shared" si="6"/>
        <v>0</v>
      </c>
      <c r="S54" s="10">
        <f t="shared" si="7"/>
        <v>0</v>
      </c>
      <c r="T54" s="10">
        <f t="shared" si="8"/>
        <v>0</v>
      </c>
      <c r="U54" s="10">
        <f t="shared" si="9"/>
        <v>0</v>
      </c>
      <c r="V54" s="10">
        <f t="shared" si="10"/>
        <v>0</v>
      </c>
      <c r="W54" s="10">
        <f t="shared" si="11"/>
        <v>0</v>
      </c>
      <c r="X54" s="10">
        <f t="shared" si="12"/>
        <v>0</v>
      </c>
      <c r="Y54" s="10">
        <f t="shared" si="13"/>
        <v>0</v>
      </c>
      <c r="Z54" s="51">
        <f t="shared" si="14"/>
        <v>0</v>
      </c>
      <c r="AA54" s="52"/>
      <c r="AB54" s="15">
        <f t="shared" si="15"/>
        <v>0</v>
      </c>
      <c r="AC54" s="18"/>
    </row>
    <row r="55" ht="18.75" customHeight="1">
      <c r="A55" s="44" t="s">
        <v>289</v>
      </c>
      <c r="B55" s="54" t="s">
        <v>133</v>
      </c>
      <c r="C55" s="45" t="s">
        <v>267</v>
      </c>
      <c r="D55" s="46" t="s">
        <v>135</v>
      </c>
      <c r="E55" s="47" t="s">
        <v>314</v>
      </c>
      <c r="F55" s="48">
        <v>43013.0</v>
      </c>
      <c r="G55" s="49">
        <v>2905.0</v>
      </c>
      <c r="H55" s="12"/>
      <c r="I55" s="12"/>
      <c r="J55" s="12"/>
      <c r="K55" s="12"/>
      <c r="L55" s="12">
        <f>G55*2%</f>
        <v>58.1</v>
      </c>
      <c r="M55" s="50">
        <f t="shared" si="16"/>
        <v>2963.1</v>
      </c>
      <c r="N55" s="10">
        <f t="shared" si="2"/>
        <v>592.62</v>
      </c>
      <c r="O55" s="10">
        <f t="shared" si="3"/>
        <v>29.05</v>
      </c>
      <c r="P55" s="10">
        <f t="shared" si="4"/>
        <v>43.575</v>
      </c>
      <c r="Q55" s="10">
        <f t="shared" si="5"/>
        <v>237.048</v>
      </c>
      <c r="R55" s="10">
        <f t="shared" si="6"/>
        <v>241.9865</v>
      </c>
      <c r="S55" s="10">
        <f t="shared" si="7"/>
        <v>80.66216667</v>
      </c>
      <c r="T55" s="10">
        <f t="shared" si="8"/>
        <v>25.81189333</v>
      </c>
      <c r="U55" s="10">
        <f t="shared" si="9"/>
        <v>64.52973333</v>
      </c>
      <c r="V55" s="10">
        <f t="shared" si="10"/>
        <v>241.9865</v>
      </c>
      <c r="W55" s="10">
        <f t="shared" si="11"/>
        <v>19.35892</v>
      </c>
      <c r="X55" s="10">
        <f t="shared" si="12"/>
        <v>48.3973</v>
      </c>
      <c r="Y55" s="10">
        <f t="shared" si="13"/>
        <v>45.7</v>
      </c>
      <c r="Z55" s="51">
        <f t="shared" si="14"/>
        <v>1670.726013</v>
      </c>
      <c r="AA55" s="52"/>
      <c r="AB55" s="15">
        <f t="shared" si="15"/>
        <v>4633.826013</v>
      </c>
      <c r="AC55" s="18"/>
    </row>
    <row r="56" ht="18.75" customHeight="1">
      <c r="A56" s="44" t="s">
        <v>289</v>
      </c>
      <c r="B56" s="54" t="s">
        <v>133</v>
      </c>
      <c r="C56" s="45" t="s">
        <v>267</v>
      </c>
      <c r="D56" s="46" t="s">
        <v>139</v>
      </c>
      <c r="E56" s="47" t="s">
        <v>308</v>
      </c>
      <c r="F56" s="48">
        <v>45216.0</v>
      </c>
      <c r="G56" s="49">
        <v>2282.0</v>
      </c>
      <c r="H56" s="12"/>
      <c r="I56" s="12"/>
      <c r="J56" s="12"/>
      <c r="K56" s="12"/>
      <c r="L56" s="12"/>
      <c r="M56" s="50">
        <f t="shared" si="16"/>
        <v>2282</v>
      </c>
      <c r="N56" s="10">
        <f t="shared" si="2"/>
        <v>456.4</v>
      </c>
      <c r="O56" s="10">
        <f t="shared" si="3"/>
        <v>22.82</v>
      </c>
      <c r="P56" s="10">
        <f t="shared" si="4"/>
        <v>34.23</v>
      </c>
      <c r="Q56" s="10">
        <f t="shared" si="5"/>
        <v>182.56</v>
      </c>
      <c r="R56" s="10">
        <f t="shared" si="6"/>
        <v>190.0906</v>
      </c>
      <c r="S56" s="10">
        <f t="shared" si="7"/>
        <v>63.36353333</v>
      </c>
      <c r="T56" s="10">
        <f t="shared" si="8"/>
        <v>20.27633067</v>
      </c>
      <c r="U56" s="10">
        <f t="shared" si="9"/>
        <v>50.69082667</v>
      </c>
      <c r="V56" s="10">
        <f t="shared" si="10"/>
        <v>190.0906</v>
      </c>
      <c r="W56" s="10">
        <f t="shared" si="11"/>
        <v>15.207248</v>
      </c>
      <c r="X56" s="10">
        <f t="shared" si="12"/>
        <v>38.01812</v>
      </c>
      <c r="Y56" s="10">
        <f t="shared" si="13"/>
        <v>83.08</v>
      </c>
      <c r="Z56" s="51">
        <f t="shared" si="14"/>
        <v>1346.827259</v>
      </c>
      <c r="AA56" s="52"/>
      <c r="AB56" s="15">
        <f t="shared" si="15"/>
        <v>3628.827259</v>
      </c>
      <c r="AC56" s="18"/>
    </row>
    <row r="57" ht="18.75" customHeight="1">
      <c r="A57" s="44" t="s">
        <v>289</v>
      </c>
      <c r="B57" s="54" t="s">
        <v>133</v>
      </c>
      <c r="C57" s="45" t="s">
        <v>267</v>
      </c>
      <c r="D57" s="46" t="s">
        <v>315</v>
      </c>
      <c r="E57" s="47" t="s">
        <v>308</v>
      </c>
      <c r="F57" s="48">
        <v>46034.0</v>
      </c>
      <c r="G57" s="49">
        <v>2282.0</v>
      </c>
      <c r="H57" s="12"/>
      <c r="I57" s="12"/>
      <c r="J57" s="12"/>
      <c r="K57" s="12"/>
      <c r="L57" s="12"/>
      <c r="M57" s="50">
        <f t="shared" si="16"/>
        <v>2282</v>
      </c>
      <c r="N57" s="10">
        <f t="shared" si="2"/>
        <v>456.4</v>
      </c>
      <c r="O57" s="10">
        <f t="shared" si="3"/>
        <v>22.82</v>
      </c>
      <c r="P57" s="10">
        <f t="shared" si="4"/>
        <v>34.23</v>
      </c>
      <c r="Q57" s="10">
        <f t="shared" si="5"/>
        <v>182.56</v>
      </c>
      <c r="R57" s="10">
        <f t="shared" si="6"/>
        <v>190.0906</v>
      </c>
      <c r="S57" s="10">
        <f t="shared" si="7"/>
        <v>63.36353333</v>
      </c>
      <c r="T57" s="10">
        <f t="shared" si="8"/>
        <v>20.27633067</v>
      </c>
      <c r="U57" s="10">
        <f t="shared" si="9"/>
        <v>50.69082667</v>
      </c>
      <c r="V57" s="10">
        <f t="shared" si="10"/>
        <v>190.0906</v>
      </c>
      <c r="W57" s="10">
        <f t="shared" si="11"/>
        <v>15.207248</v>
      </c>
      <c r="X57" s="10">
        <f t="shared" si="12"/>
        <v>38.01812</v>
      </c>
      <c r="Y57" s="10">
        <f t="shared" si="13"/>
        <v>83.08</v>
      </c>
      <c r="Z57" s="51">
        <f t="shared" si="14"/>
        <v>1346.827259</v>
      </c>
      <c r="AA57" s="52"/>
      <c r="AB57" s="15">
        <f t="shared" si="15"/>
        <v>3628.827259</v>
      </c>
      <c r="AC57" s="18"/>
    </row>
    <row r="58" ht="18.75" customHeight="1">
      <c r="A58" s="44" t="s">
        <v>289</v>
      </c>
      <c r="B58" s="54" t="s">
        <v>133</v>
      </c>
      <c r="C58" s="45" t="s">
        <v>267</v>
      </c>
      <c r="D58" s="46" t="s">
        <v>316</v>
      </c>
      <c r="E58" s="47" t="s">
        <v>308</v>
      </c>
      <c r="F58" s="48">
        <v>45952.0</v>
      </c>
      <c r="G58" s="49">
        <v>2282.0</v>
      </c>
      <c r="H58" s="12"/>
      <c r="I58" s="12"/>
      <c r="J58" s="12"/>
      <c r="K58" s="12"/>
      <c r="L58" s="12"/>
      <c r="M58" s="50">
        <f t="shared" si="16"/>
        <v>2282</v>
      </c>
      <c r="N58" s="10">
        <f t="shared" si="2"/>
        <v>456.4</v>
      </c>
      <c r="O58" s="10">
        <f t="shared" si="3"/>
        <v>22.82</v>
      </c>
      <c r="P58" s="10">
        <f t="shared" si="4"/>
        <v>34.23</v>
      </c>
      <c r="Q58" s="10">
        <f t="shared" si="5"/>
        <v>182.56</v>
      </c>
      <c r="R58" s="10">
        <f t="shared" si="6"/>
        <v>190.0906</v>
      </c>
      <c r="S58" s="10">
        <f t="shared" si="7"/>
        <v>63.36353333</v>
      </c>
      <c r="T58" s="10">
        <f t="shared" si="8"/>
        <v>20.27633067</v>
      </c>
      <c r="U58" s="10">
        <f t="shared" si="9"/>
        <v>50.69082667</v>
      </c>
      <c r="V58" s="10">
        <f t="shared" si="10"/>
        <v>190.0906</v>
      </c>
      <c r="W58" s="10">
        <f t="shared" si="11"/>
        <v>15.207248</v>
      </c>
      <c r="X58" s="10">
        <f t="shared" si="12"/>
        <v>38.01812</v>
      </c>
      <c r="Y58" s="10">
        <f t="shared" si="13"/>
        <v>83.08</v>
      </c>
      <c r="Z58" s="51">
        <f t="shared" si="14"/>
        <v>1346.827259</v>
      </c>
      <c r="AA58" s="52"/>
      <c r="AB58" s="15">
        <f t="shared" si="15"/>
        <v>3628.827259</v>
      </c>
      <c r="AC58" s="18"/>
    </row>
    <row r="59" ht="18.75" customHeight="1">
      <c r="A59" s="44" t="s">
        <v>289</v>
      </c>
      <c r="B59" s="54" t="s">
        <v>133</v>
      </c>
      <c r="C59" s="45" t="s">
        <v>267</v>
      </c>
      <c r="D59" s="46" t="s">
        <v>137</v>
      </c>
      <c r="E59" s="47" t="s">
        <v>309</v>
      </c>
      <c r="F59" s="48">
        <v>45661.0</v>
      </c>
      <c r="G59" s="49">
        <v>2510.0</v>
      </c>
      <c r="H59" s="12"/>
      <c r="I59" s="12"/>
      <c r="J59" s="12"/>
      <c r="K59" s="12"/>
      <c r="L59" s="12"/>
      <c r="M59" s="50">
        <f t="shared" si="16"/>
        <v>2510</v>
      </c>
      <c r="N59" s="10">
        <f t="shared" si="2"/>
        <v>502</v>
      </c>
      <c r="O59" s="10">
        <f t="shared" si="3"/>
        <v>25.1</v>
      </c>
      <c r="P59" s="10">
        <f t="shared" si="4"/>
        <v>37.65</v>
      </c>
      <c r="Q59" s="10">
        <f t="shared" si="5"/>
        <v>200.8</v>
      </c>
      <c r="R59" s="10">
        <f t="shared" si="6"/>
        <v>209.083</v>
      </c>
      <c r="S59" s="10">
        <f t="shared" si="7"/>
        <v>69.69433333</v>
      </c>
      <c r="T59" s="10">
        <f t="shared" si="8"/>
        <v>22.30218667</v>
      </c>
      <c r="U59" s="10">
        <f t="shared" si="9"/>
        <v>55.75546667</v>
      </c>
      <c r="V59" s="10">
        <f t="shared" si="10"/>
        <v>209.083</v>
      </c>
      <c r="W59" s="10">
        <f t="shared" si="11"/>
        <v>16.72664</v>
      </c>
      <c r="X59" s="10">
        <f t="shared" si="12"/>
        <v>41.8166</v>
      </c>
      <c r="Y59" s="10">
        <f t="shared" si="13"/>
        <v>69.4</v>
      </c>
      <c r="Z59" s="51">
        <f t="shared" si="14"/>
        <v>1459.411227</v>
      </c>
      <c r="AA59" s="52"/>
      <c r="AB59" s="15">
        <f t="shared" si="15"/>
        <v>3969.411227</v>
      </c>
      <c r="AC59" s="16"/>
    </row>
    <row r="60" ht="18.75" customHeight="1">
      <c r="A60" s="44" t="s">
        <v>289</v>
      </c>
      <c r="B60" s="54" t="s">
        <v>133</v>
      </c>
      <c r="C60" s="53" t="s">
        <v>277</v>
      </c>
      <c r="D60" s="46"/>
      <c r="E60" s="47" t="s">
        <v>308</v>
      </c>
      <c r="F60" s="48"/>
      <c r="G60" s="49">
        <v>0.0</v>
      </c>
      <c r="H60" s="12"/>
      <c r="I60" s="12"/>
      <c r="J60" s="12"/>
      <c r="K60" s="12"/>
      <c r="L60" s="12"/>
      <c r="M60" s="50">
        <f t="shared" si="16"/>
        <v>0</v>
      </c>
      <c r="N60" s="10">
        <f t="shared" si="2"/>
        <v>0</v>
      </c>
      <c r="O60" s="10">
        <f t="shared" si="3"/>
        <v>0</v>
      </c>
      <c r="P60" s="10">
        <f t="shared" si="4"/>
        <v>0</v>
      </c>
      <c r="Q60" s="10">
        <f t="shared" si="5"/>
        <v>0</v>
      </c>
      <c r="R60" s="10">
        <f t="shared" si="6"/>
        <v>0</v>
      </c>
      <c r="S60" s="10">
        <f t="shared" si="7"/>
        <v>0</v>
      </c>
      <c r="T60" s="10">
        <f t="shared" si="8"/>
        <v>0</v>
      </c>
      <c r="U60" s="10">
        <f t="shared" si="9"/>
        <v>0</v>
      </c>
      <c r="V60" s="10">
        <f t="shared" si="10"/>
        <v>0</v>
      </c>
      <c r="W60" s="10">
        <f t="shared" si="11"/>
        <v>0</v>
      </c>
      <c r="X60" s="10">
        <f t="shared" si="12"/>
        <v>0</v>
      </c>
      <c r="Y60" s="10">
        <f t="shared" si="13"/>
        <v>0</v>
      </c>
      <c r="Z60" s="51">
        <f t="shared" si="14"/>
        <v>0</v>
      </c>
      <c r="AA60" s="52"/>
      <c r="AB60" s="15">
        <f t="shared" si="15"/>
        <v>0</v>
      </c>
      <c r="AC60" s="18"/>
    </row>
    <row r="61" ht="18.75" customHeight="1">
      <c r="A61" s="44" t="s">
        <v>289</v>
      </c>
      <c r="B61" s="54" t="s">
        <v>133</v>
      </c>
      <c r="C61" s="53" t="s">
        <v>277</v>
      </c>
      <c r="D61" s="46"/>
      <c r="E61" s="47" t="s">
        <v>308</v>
      </c>
      <c r="F61" s="48"/>
      <c r="G61" s="49">
        <v>0.0</v>
      </c>
      <c r="H61" s="12"/>
      <c r="I61" s="12"/>
      <c r="J61" s="12"/>
      <c r="K61" s="12"/>
      <c r="L61" s="12"/>
      <c r="M61" s="50">
        <f t="shared" si="16"/>
        <v>0</v>
      </c>
      <c r="N61" s="10">
        <f t="shared" si="2"/>
        <v>0</v>
      </c>
      <c r="O61" s="10">
        <f t="shared" si="3"/>
        <v>0</v>
      </c>
      <c r="P61" s="10">
        <f t="shared" si="4"/>
        <v>0</v>
      </c>
      <c r="Q61" s="10">
        <f t="shared" si="5"/>
        <v>0</v>
      </c>
      <c r="R61" s="10">
        <f t="shared" si="6"/>
        <v>0</v>
      </c>
      <c r="S61" s="10">
        <f t="shared" si="7"/>
        <v>0</v>
      </c>
      <c r="T61" s="10">
        <f t="shared" si="8"/>
        <v>0</v>
      </c>
      <c r="U61" s="10">
        <f t="shared" si="9"/>
        <v>0</v>
      </c>
      <c r="V61" s="10">
        <f t="shared" si="10"/>
        <v>0</v>
      </c>
      <c r="W61" s="10">
        <f t="shared" si="11"/>
        <v>0</v>
      </c>
      <c r="X61" s="10">
        <f t="shared" si="12"/>
        <v>0</v>
      </c>
      <c r="Y61" s="10">
        <f t="shared" si="13"/>
        <v>0</v>
      </c>
      <c r="Z61" s="51">
        <f t="shared" si="14"/>
        <v>0</v>
      </c>
      <c r="AA61" s="52"/>
      <c r="AB61" s="15">
        <f t="shared" si="15"/>
        <v>0</v>
      </c>
      <c r="AC61" s="18"/>
    </row>
    <row r="62" ht="18.75" customHeight="1">
      <c r="A62" s="44" t="s">
        <v>289</v>
      </c>
      <c r="B62" s="54" t="s">
        <v>141</v>
      </c>
      <c r="C62" s="45" t="s">
        <v>267</v>
      </c>
      <c r="D62" s="46" t="s">
        <v>317</v>
      </c>
      <c r="E62" s="47" t="s">
        <v>318</v>
      </c>
      <c r="F62" s="48">
        <v>45905.0</v>
      </c>
      <c r="G62" s="49">
        <v>3665.0</v>
      </c>
      <c r="H62" s="12"/>
      <c r="I62" s="12"/>
      <c r="J62" s="12"/>
      <c r="K62" s="12"/>
      <c r="L62" s="12"/>
      <c r="M62" s="50">
        <f t="shared" si="16"/>
        <v>3665</v>
      </c>
      <c r="N62" s="10">
        <f t="shared" si="2"/>
        <v>733</v>
      </c>
      <c r="O62" s="10">
        <f t="shared" si="3"/>
        <v>36.65</v>
      </c>
      <c r="P62" s="10">
        <f t="shared" si="4"/>
        <v>54.975</v>
      </c>
      <c r="Q62" s="10">
        <f t="shared" si="5"/>
        <v>293.2</v>
      </c>
      <c r="R62" s="10">
        <f t="shared" si="6"/>
        <v>305.2945</v>
      </c>
      <c r="S62" s="10">
        <f t="shared" si="7"/>
        <v>101.7648333</v>
      </c>
      <c r="T62" s="10">
        <f t="shared" si="8"/>
        <v>32.56474667</v>
      </c>
      <c r="U62" s="10">
        <f t="shared" si="9"/>
        <v>81.41186667</v>
      </c>
      <c r="V62" s="10">
        <f t="shared" si="10"/>
        <v>305.2945</v>
      </c>
      <c r="W62" s="10">
        <f t="shared" si="11"/>
        <v>24.42356</v>
      </c>
      <c r="X62" s="10">
        <f t="shared" si="12"/>
        <v>61.0589</v>
      </c>
      <c r="Y62" s="10">
        <f t="shared" si="13"/>
        <v>0.1</v>
      </c>
      <c r="Z62" s="51">
        <f t="shared" si="14"/>
        <v>2029.737907</v>
      </c>
      <c r="AA62" s="52"/>
      <c r="AB62" s="15">
        <f t="shared" si="15"/>
        <v>5694.737907</v>
      </c>
      <c r="AC62" s="18"/>
    </row>
    <row r="63" ht="18.75" customHeight="1">
      <c r="A63" s="44" t="s">
        <v>289</v>
      </c>
      <c r="B63" s="54" t="s">
        <v>141</v>
      </c>
      <c r="C63" s="53" t="s">
        <v>277</v>
      </c>
      <c r="D63" s="46"/>
      <c r="E63" s="47" t="s">
        <v>318</v>
      </c>
      <c r="F63" s="48"/>
      <c r="G63" s="49">
        <v>0.0</v>
      </c>
      <c r="H63" s="12"/>
      <c r="I63" s="12"/>
      <c r="J63" s="12"/>
      <c r="K63" s="12"/>
      <c r="L63" s="12"/>
      <c r="M63" s="50">
        <f t="shared" si="16"/>
        <v>0</v>
      </c>
      <c r="N63" s="10">
        <f t="shared" si="2"/>
        <v>0</v>
      </c>
      <c r="O63" s="10">
        <f t="shared" si="3"/>
        <v>0</v>
      </c>
      <c r="P63" s="10">
        <f t="shared" si="4"/>
        <v>0</v>
      </c>
      <c r="Q63" s="10">
        <f t="shared" si="5"/>
        <v>0</v>
      </c>
      <c r="R63" s="10">
        <f t="shared" si="6"/>
        <v>0</v>
      </c>
      <c r="S63" s="10">
        <f t="shared" si="7"/>
        <v>0</v>
      </c>
      <c r="T63" s="10">
        <f t="shared" si="8"/>
        <v>0</v>
      </c>
      <c r="U63" s="10">
        <f t="shared" si="9"/>
        <v>0</v>
      </c>
      <c r="V63" s="10">
        <f t="shared" si="10"/>
        <v>0</v>
      </c>
      <c r="W63" s="10">
        <f t="shared" si="11"/>
        <v>0</v>
      </c>
      <c r="X63" s="10">
        <f t="shared" si="12"/>
        <v>0</v>
      </c>
      <c r="Y63" s="10">
        <f t="shared" si="13"/>
        <v>0</v>
      </c>
      <c r="Z63" s="51">
        <f t="shared" si="14"/>
        <v>0</v>
      </c>
      <c r="AA63" s="52"/>
      <c r="AB63" s="15">
        <f t="shared" si="15"/>
        <v>0</v>
      </c>
      <c r="AC63" s="18"/>
    </row>
    <row r="64" ht="18.75" customHeight="1">
      <c r="A64" s="44" t="s">
        <v>289</v>
      </c>
      <c r="B64" s="54" t="s">
        <v>141</v>
      </c>
      <c r="C64" s="58" t="s">
        <v>281</v>
      </c>
      <c r="D64" s="46"/>
      <c r="E64" s="47" t="s">
        <v>142</v>
      </c>
      <c r="F64" s="48"/>
      <c r="G64" s="49">
        <v>0.0</v>
      </c>
      <c r="H64" s="12"/>
      <c r="I64" s="12"/>
      <c r="J64" s="12"/>
      <c r="K64" s="12"/>
      <c r="L64" s="12"/>
      <c r="M64" s="50">
        <f t="shared" si="16"/>
        <v>0</v>
      </c>
      <c r="N64" s="10">
        <f t="shared" si="2"/>
        <v>0</v>
      </c>
      <c r="O64" s="10">
        <f t="shared" si="3"/>
        <v>0</v>
      </c>
      <c r="P64" s="10">
        <f t="shared" si="4"/>
        <v>0</v>
      </c>
      <c r="Q64" s="10">
        <f t="shared" si="5"/>
        <v>0</v>
      </c>
      <c r="R64" s="10">
        <f t="shared" si="6"/>
        <v>0</v>
      </c>
      <c r="S64" s="10">
        <f t="shared" si="7"/>
        <v>0</v>
      </c>
      <c r="T64" s="10">
        <f t="shared" si="8"/>
        <v>0</v>
      </c>
      <c r="U64" s="10">
        <f t="shared" si="9"/>
        <v>0</v>
      </c>
      <c r="V64" s="10">
        <f t="shared" si="10"/>
        <v>0</v>
      </c>
      <c r="W64" s="10">
        <f t="shared" si="11"/>
        <v>0</v>
      </c>
      <c r="X64" s="10">
        <f t="shared" si="12"/>
        <v>0</v>
      </c>
      <c r="Y64" s="10">
        <f t="shared" si="13"/>
        <v>0</v>
      </c>
      <c r="Z64" s="51">
        <f t="shared" si="14"/>
        <v>0</v>
      </c>
      <c r="AA64" s="52"/>
      <c r="AB64" s="15">
        <f t="shared" si="15"/>
        <v>0</v>
      </c>
      <c r="AC64" s="18"/>
    </row>
    <row r="65" ht="18.75" customHeight="1">
      <c r="A65" s="44" t="s">
        <v>289</v>
      </c>
      <c r="B65" s="54" t="s">
        <v>144</v>
      </c>
      <c r="C65" s="45" t="s">
        <v>267</v>
      </c>
      <c r="D65" s="46" t="s">
        <v>319</v>
      </c>
      <c r="E65" s="47" t="s">
        <v>320</v>
      </c>
      <c r="F65" s="48">
        <v>45999.0</v>
      </c>
      <c r="G65" s="49">
        <v>3225.0</v>
      </c>
      <c r="H65" s="12"/>
      <c r="I65" s="12"/>
      <c r="J65" s="12"/>
      <c r="K65" s="12"/>
      <c r="L65" s="12"/>
      <c r="M65" s="50">
        <f t="shared" si="16"/>
        <v>3225</v>
      </c>
      <c r="N65" s="10">
        <f t="shared" si="2"/>
        <v>645</v>
      </c>
      <c r="O65" s="10">
        <f t="shared" si="3"/>
        <v>32.25</v>
      </c>
      <c r="P65" s="10">
        <f t="shared" si="4"/>
        <v>48.375</v>
      </c>
      <c r="Q65" s="10">
        <f t="shared" si="5"/>
        <v>258</v>
      </c>
      <c r="R65" s="10">
        <f t="shared" si="6"/>
        <v>268.6425</v>
      </c>
      <c r="S65" s="10">
        <f t="shared" si="7"/>
        <v>89.5475</v>
      </c>
      <c r="T65" s="10">
        <f t="shared" si="8"/>
        <v>28.6552</v>
      </c>
      <c r="U65" s="10">
        <f t="shared" si="9"/>
        <v>71.638</v>
      </c>
      <c r="V65" s="10">
        <f t="shared" si="10"/>
        <v>268.6425</v>
      </c>
      <c r="W65" s="10">
        <f t="shared" si="11"/>
        <v>21.4914</v>
      </c>
      <c r="X65" s="10">
        <f t="shared" si="12"/>
        <v>53.7285</v>
      </c>
      <c r="Y65" s="10">
        <f t="shared" si="13"/>
        <v>26.5</v>
      </c>
      <c r="Z65" s="51">
        <f t="shared" si="14"/>
        <v>1812.4706</v>
      </c>
      <c r="AA65" s="52"/>
      <c r="AB65" s="15">
        <f t="shared" si="15"/>
        <v>5037.4706</v>
      </c>
      <c r="AC65" s="18"/>
    </row>
    <row r="66" ht="18.75" customHeight="1">
      <c r="A66" s="44" t="s">
        <v>289</v>
      </c>
      <c r="B66" s="54" t="s">
        <v>144</v>
      </c>
      <c r="C66" s="45" t="s">
        <v>267</v>
      </c>
      <c r="D66" s="46" t="s">
        <v>148</v>
      </c>
      <c r="E66" s="47" t="s">
        <v>321</v>
      </c>
      <c r="F66" s="48">
        <v>44840.0</v>
      </c>
      <c r="G66" s="49">
        <v>3665.0</v>
      </c>
      <c r="H66" s="12"/>
      <c r="I66" s="12"/>
      <c r="J66" s="12"/>
      <c r="K66" s="12"/>
      <c r="L66" s="12"/>
      <c r="M66" s="50">
        <f t="shared" si="16"/>
        <v>3665</v>
      </c>
      <c r="N66" s="10">
        <f t="shared" si="2"/>
        <v>733</v>
      </c>
      <c r="O66" s="10">
        <f t="shared" si="3"/>
        <v>36.65</v>
      </c>
      <c r="P66" s="10">
        <f t="shared" si="4"/>
        <v>54.975</v>
      </c>
      <c r="Q66" s="10">
        <f t="shared" si="5"/>
        <v>293.2</v>
      </c>
      <c r="R66" s="10">
        <f t="shared" si="6"/>
        <v>305.2945</v>
      </c>
      <c r="S66" s="10">
        <f t="shared" si="7"/>
        <v>101.7648333</v>
      </c>
      <c r="T66" s="10">
        <f t="shared" si="8"/>
        <v>32.56474667</v>
      </c>
      <c r="U66" s="10">
        <f t="shared" si="9"/>
        <v>81.41186667</v>
      </c>
      <c r="V66" s="10">
        <f t="shared" si="10"/>
        <v>305.2945</v>
      </c>
      <c r="W66" s="10">
        <f t="shared" si="11"/>
        <v>24.42356</v>
      </c>
      <c r="X66" s="10">
        <f t="shared" si="12"/>
        <v>61.0589</v>
      </c>
      <c r="Y66" s="10">
        <f t="shared" si="13"/>
        <v>0.1</v>
      </c>
      <c r="Z66" s="51">
        <f t="shared" si="14"/>
        <v>2029.737907</v>
      </c>
      <c r="AA66" s="52"/>
      <c r="AB66" s="15">
        <f t="shared" si="15"/>
        <v>5694.737907</v>
      </c>
      <c r="AC66" s="18"/>
    </row>
    <row r="67" ht="18.75" customHeight="1">
      <c r="A67" s="44" t="s">
        <v>289</v>
      </c>
      <c r="B67" s="54" t="s">
        <v>144</v>
      </c>
      <c r="C67" s="45" t="s">
        <v>267</v>
      </c>
      <c r="D67" s="46" t="s">
        <v>146</v>
      </c>
      <c r="E67" s="47" t="s">
        <v>322</v>
      </c>
      <c r="F67" s="48">
        <v>43332.0</v>
      </c>
      <c r="G67" s="49">
        <v>3980.0</v>
      </c>
      <c r="H67" s="12"/>
      <c r="I67" s="12"/>
      <c r="J67" s="12"/>
      <c r="K67" s="12"/>
      <c r="L67" s="12">
        <f>G67*2%</f>
        <v>79.6</v>
      </c>
      <c r="M67" s="50">
        <f t="shared" si="16"/>
        <v>4059.6</v>
      </c>
      <c r="N67" s="10">
        <f t="shared" si="2"/>
        <v>811.92</v>
      </c>
      <c r="O67" s="10">
        <f t="shared" si="3"/>
        <v>39.8</v>
      </c>
      <c r="P67" s="10">
        <f t="shared" si="4"/>
        <v>59.7</v>
      </c>
      <c r="Q67" s="10">
        <f t="shared" si="5"/>
        <v>324.768</v>
      </c>
      <c r="R67" s="10">
        <f t="shared" si="6"/>
        <v>331.534</v>
      </c>
      <c r="S67" s="10">
        <f t="shared" si="7"/>
        <v>110.5113333</v>
      </c>
      <c r="T67" s="10">
        <f t="shared" si="8"/>
        <v>35.36362667</v>
      </c>
      <c r="U67" s="10">
        <f t="shared" si="9"/>
        <v>88.40906667</v>
      </c>
      <c r="V67" s="10">
        <f t="shared" si="10"/>
        <v>331.534</v>
      </c>
      <c r="W67" s="10">
        <f t="shared" si="11"/>
        <v>26.52272</v>
      </c>
      <c r="X67" s="10">
        <f t="shared" si="12"/>
        <v>66.3068</v>
      </c>
      <c r="Y67" s="10">
        <f t="shared" si="13"/>
        <v>-18.8</v>
      </c>
      <c r="Z67" s="51">
        <f t="shared" si="14"/>
        <v>2207.569547</v>
      </c>
      <c r="AA67" s="52"/>
      <c r="AB67" s="15">
        <f t="shared" si="15"/>
        <v>6267.169547</v>
      </c>
      <c r="AC67" s="18"/>
    </row>
    <row r="68" ht="18.75" customHeight="1">
      <c r="A68" s="54" t="s">
        <v>289</v>
      </c>
      <c r="B68" s="54" t="s">
        <v>323</v>
      </c>
      <c r="C68" s="45" t="s">
        <v>324</v>
      </c>
      <c r="D68" s="46" t="s">
        <v>325</v>
      </c>
      <c r="E68" s="47" t="s">
        <v>326</v>
      </c>
      <c r="F68" s="48">
        <v>45870.0</v>
      </c>
      <c r="G68" s="49">
        <v>3006.0</v>
      </c>
      <c r="H68" s="12">
        <f>G68*40%</f>
        <v>1202.4</v>
      </c>
      <c r="I68" s="12"/>
      <c r="J68" s="12">
        <f>G68*10%</f>
        <v>300.6</v>
      </c>
      <c r="K68" s="12"/>
      <c r="L68" s="12"/>
      <c r="M68" s="50">
        <f t="shared" si="16"/>
        <v>4509</v>
      </c>
      <c r="N68" s="10">
        <f t="shared" si="2"/>
        <v>901.8</v>
      </c>
      <c r="O68" s="10">
        <f t="shared" si="3"/>
        <v>30.06</v>
      </c>
      <c r="P68" s="10">
        <f t="shared" si="4"/>
        <v>45.09</v>
      </c>
      <c r="Q68" s="10">
        <f t="shared" si="5"/>
        <v>360.72</v>
      </c>
      <c r="R68" s="10">
        <f t="shared" si="6"/>
        <v>250.3998</v>
      </c>
      <c r="S68" s="10">
        <f t="shared" si="7"/>
        <v>83.4666</v>
      </c>
      <c r="T68" s="10">
        <f t="shared" si="8"/>
        <v>26.709312</v>
      </c>
      <c r="U68" s="10">
        <f t="shared" si="9"/>
        <v>66.77328</v>
      </c>
      <c r="V68" s="10">
        <f t="shared" si="10"/>
        <v>250.3998</v>
      </c>
      <c r="W68" s="10">
        <f t="shared" si="11"/>
        <v>20.031984</v>
      </c>
      <c r="X68" s="10">
        <f t="shared" si="12"/>
        <v>50.07996</v>
      </c>
      <c r="Y68" s="10">
        <f t="shared" si="13"/>
        <v>39.64</v>
      </c>
      <c r="Z68" s="51">
        <f t="shared" si="14"/>
        <v>2125.170736</v>
      </c>
      <c r="AA68" s="52"/>
      <c r="AB68" s="15">
        <f t="shared" si="15"/>
        <v>6634.170736</v>
      </c>
      <c r="AC68" s="18"/>
    </row>
    <row r="69" ht="18.75" customHeight="1">
      <c r="A69" s="54" t="s">
        <v>289</v>
      </c>
      <c r="B69" s="54" t="s">
        <v>327</v>
      </c>
      <c r="C69" s="45" t="s">
        <v>324</v>
      </c>
      <c r="D69" s="46" t="s">
        <v>155</v>
      </c>
      <c r="E69" s="47" t="s">
        <v>328</v>
      </c>
      <c r="F69" s="48">
        <v>45778.0</v>
      </c>
      <c r="G69" s="49">
        <v>3168.0</v>
      </c>
      <c r="H69" s="12"/>
      <c r="I69" s="12"/>
      <c r="J69" s="12"/>
      <c r="K69" s="12"/>
      <c r="L69" s="12"/>
      <c r="M69" s="50">
        <f t="shared" si="16"/>
        <v>3168</v>
      </c>
      <c r="N69" s="10">
        <f t="shared" si="2"/>
        <v>633.6</v>
      </c>
      <c r="O69" s="10">
        <f t="shared" si="3"/>
        <v>31.68</v>
      </c>
      <c r="P69" s="10">
        <f t="shared" si="4"/>
        <v>47.52</v>
      </c>
      <c r="Q69" s="10">
        <f t="shared" si="5"/>
        <v>253.44</v>
      </c>
      <c r="R69" s="10">
        <f t="shared" si="6"/>
        <v>263.8944</v>
      </c>
      <c r="S69" s="10">
        <f t="shared" si="7"/>
        <v>87.9648</v>
      </c>
      <c r="T69" s="10">
        <f t="shared" si="8"/>
        <v>28.148736</v>
      </c>
      <c r="U69" s="10">
        <f t="shared" si="9"/>
        <v>70.37184</v>
      </c>
      <c r="V69" s="10">
        <f t="shared" si="10"/>
        <v>263.8944</v>
      </c>
      <c r="W69" s="10">
        <f t="shared" si="11"/>
        <v>21.111552</v>
      </c>
      <c r="X69" s="10">
        <f t="shared" si="12"/>
        <v>52.77888</v>
      </c>
      <c r="Y69" s="10">
        <f t="shared" si="13"/>
        <v>29.92</v>
      </c>
      <c r="Z69" s="51">
        <f t="shared" si="14"/>
        <v>1784.324608</v>
      </c>
      <c r="AA69" s="52"/>
      <c r="AB69" s="15">
        <f t="shared" si="15"/>
        <v>4952.324608</v>
      </c>
      <c r="AC69" s="18"/>
    </row>
    <row r="70" ht="18.75" customHeight="1">
      <c r="A70" s="54" t="s">
        <v>289</v>
      </c>
      <c r="B70" s="54" t="s">
        <v>323</v>
      </c>
      <c r="C70" s="45" t="s">
        <v>329</v>
      </c>
      <c r="D70" s="46" t="s">
        <v>171</v>
      </c>
      <c r="E70" s="47" t="s">
        <v>330</v>
      </c>
      <c r="F70" s="48">
        <v>45541.0</v>
      </c>
      <c r="G70" s="49">
        <v>2880.0</v>
      </c>
      <c r="H70" s="12"/>
      <c r="I70" s="12"/>
      <c r="J70" s="12"/>
      <c r="K70" s="12"/>
      <c r="L70" s="12"/>
      <c r="M70" s="50">
        <f t="shared" si="16"/>
        <v>2880</v>
      </c>
      <c r="N70" s="10">
        <f t="shared" si="2"/>
        <v>576</v>
      </c>
      <c r="O70" s="10">
        <f t="shared" si="3"/>
        <v>28.8</v>
      </c>
      <c r="P70" s="10">
        <f t="shared" si="4"/>
        <v>43.2</v>
      </c>
      <c r="Q70" s="10">
        <f t="shared" si="5"/>
        <v>230.4</v>
      </c>
      <c r="R70" s="10">
        <f t="shared" si="6"/>
        <v>239.904</v>
      </c>
      <c r="S70" s="10">
        <f t="shared" si="7"/>
        <v>79.968</v>
      </c>
      <c r="T70" s="10">
        <f t="shared" si="8"/>
        <v>25.58976</v>
      </c>
      <c r="U70" s="10">
        <f t="shared" si="9"/>
        <v>63.9744</v>
      </c>
      <c r="V70" s="10">
        <f t="shared" si="10"/>
        <v>239.904</v>
      </c>
      <c r="W70" s="10">
        <f t="shared" si="11"/>
        <v>19.19232</v>
      </c>
      <c r="X70" s="10">
        <f t="shared" si="12"/>
        <v>47.9808</v>
      </c>
      <c r="Y70" s="10">
        <f t="shared" si="13"/>
        <v>47.2</v>
      </c>
      <c r="Z70" s="51">
        <f t="shared" si="14"/>
        <v>1642.11328</v>
      </c>
      <c r="AA70" s="52"/>
      <c r="AB70" s="15">
        <f t="shared" si="15"/>
        <v>4522.11328</v>
      </c>
      <c r="AC70" s="18"/>
    </row>
    <row r="71" ht="18.75" customHeight="1">
      <c r="A71" s="54" t="s">
        <v>289</v>
      </c>
      <c r="B71" s="54" t="s">
        <v>323</v>
      </c>
      <c r="C71" s="45" t="s">
        <v>329</v>
      </c>
      <c r="D71" s="46" t="s">
        <v>157</v>
      </c>
      <c r="E71" s="47" t="s">
        <v>331</v>
      </c>
      <c r="F71" s="48">
        <v>44828.0</v>
      </c>
      <c r="G71" s="49">
        <v>2760.0</v>
      </c>
      <c r="H71" s="12"/>
      <c r="I71" s="12"/>
      <c r="J71" s="12"/>
      <c r="K71" s="12"/>
      <c r="L71" s="12"/>
      <c r="M71" s="50">
        <f t="shared" si="16"/>
        <v>2760</v>
      </c>
      <c r="N71" s="10">
        <f t="shared" si="2"/>
        <v>552</v>
      </c>
      <c r="O71" s="10">
        <f t="shared" si="3"/>
        <v>27.6</v>
      </c>
      <c r="P71" s="10">
        <f t="shared" si="4"/>
        <v>41.4</v>
      </c>
      <c r="Q71" s="10">
        <f t="shared" si="5"/>
        <v>220.8</v>
      </c>
      <c r="R71" s="10">
        <f t="shared" si="6"/>
        <v>229.908</v>
      </c>
      <c r="S71" s="10">
        <f t="shared" si="7"/>
        <v>76.636</v>
      </c>
      <c r="T71" s="10">
        <f t="shared" si="8"/>
        <v>24.52352</v>
      </c>
      <c r="U71" s="10">
        <f t="shared" si="9"/>
        <v>61.3088</v>
      </c>
      <c r="V71" s="10">
        <f t="shared" si="10"/>
        <v>229.908</v>
      </c>
      <c r="W71" s="10">
        <f t="shared" si="11"/>
        <v>18.39264</v>
      </c>
      <c r="X71" s="10">
        <f t="shared" si="12"/>
        <v>45.9816</v>
      </c>
      <c r="Y71" s="10">
        <f t="shared" si="13"/>
        <v>54.4</v>
      </c>
      <c r="Z71" s="51">
        <f t="shared" si="14"/>
        <v>1582.85856</v>
      </c>
      <c r="AA71" s="52"/>
      <c r="AB71" s="15">
        <f t="shared" si="15"/>
        <v>4342.85856</v>
      </c>
      <c r="AC71" s="18"/>
    </row>
    <row r="72" ht="18.75" customHeight="1">
      <c r="A72" s="54" t="s">
        <v>289</v>
      </c>
      <c r="B72" s="54" t="s">
        <v>323</v>
      </c>
      <c r="C72" s="45" t="s">
        <v>267</v>
      </c>
      <c r="D72" s="46" t="s">
        <v>332</v>
      </c>
      <c r="E72" s="47" t="s">
        <v>333</v>
      </c>
      <c r="F72" s="48">
        <v>46003.0</v>
      </c>
      <c r="G72" s="49">
        <v>2190.0</v>
      </c>
      <c r="H72" s="12"/>
      <c r="I72" s="12"/>
      <c r="J72" s="12"/>
      <c r="K72" s="12"/>
      <c r="L72" s="12"/>
      <c r="M72" s="50">
        <f t="shared" si="16"/>
        <v>2190</v>
      </c>
      <c r="N72" s="10">
        <f t="shared" si="2"/>
        <v>438</v>
      </c>
      <c r="O72" s="10">
        <f t="shared" si="3"/>
        <v>21.9</v>
      </c>
      <c r="P72" s="10">
        <f t="shared" si="4"/>
        <v>32.85</v>
      </c>
      <c r="Q72" s="10">
        <f t="shared" si="5"/>
        <v>175.2</v>
      </c>
      <c r="R72" s="10">
        <f t="shared" si="6"/>
        <v>182.427</v>
      </c>
      <c r="S72" s="10">
        <f t="shared" si="7"/>
        <v>60.809</v>
      </c>
      <c r="T72" s="10">
        <f t="shared" si="8"/>
        <v>19.45888</v>
      </c>
      <c r="U72" s="10">
        <f t="shared" si="9"/>
        <v>48.6472</v>
      </c>
      <c r="V72" s="10">
        <f t="shared" si="10"/>
        <v>182.427</v>
      </c>
      <c r="W72" s="10">
        <f t="shared" si="11"/>
        <v>14.59416</v>
      </c>
      <c r="X72" s="10">
        <f t="shared" si="12"/>
        <v>36.4854</v>
      </c>
      <c r="Y72" s="10">
        <f t="shared" si="13"/>
        <v>88.6</v>
      </c>
      <c r="Z72" s="51">
        <f t="shared" si="14"/>
        <v>1301.39864</v>
      </c>
      <c r="AA72" s="52"/>
      <c r="AB72" s="15">
        <f t="shared" si="15"/>
        <v>3491.39864</v>
      </c>
      <c r="AC72" s="18"/>
    </row>
    <row r="73" ht="18.75" customHeight="1">
      <c r="A73" s="44" t="s">
        <v>289</v>
      </c>
      <c r="B73" s="54" t="s">
        <v>323</v>
      </c>
      <c r="C73" s="53" t="s">
        <v>277</v>
      </c>
      <c r="D73" s="46"/>
      <c r="E73" s="47" t="s">
        <v>333</v>
      </c>
      <c r="F73" s="48"/>
      <c r="G73" s="49">
        <v>0.0</v>
      </c>
      <c r="H73" s="12"/>
      <c r="I73" s="12"/>
      <c r="J73" s="12"/>
      <c r="K73" s="12"/>
      <c r="L73" s="12"/>
      <c r="M73" s="50">
        <f t="shared" si="16"/>
        <v>0</v>
      </c>
      <c r="N73" s="10">
        <f t="shared" si="2"/>
        <v>0</v>
      </c>
      <c r="O73" s="10">
        <f t="shared" si="3"/>
        <v>0</v>
      </c>
      <c r="P73" s="10">
        <f t="shared" si="4"/>
        <v>0</v>
      </c>
      <c r="Q73" s="10">
        <f t="shared" si="5"/>
        <v>0</v>
      </c>
      <c r="R73" s="10">
        <f t="shared" si="6"/>
        <v>0</v>
      </c>
      <c r="S73" s="10">
        <f t="shared" si="7"/>
        <v>0</v>
      </c>
      <c r="T73" s="10">
        <f t="shared" si="8"/>
        <v>0</v>
      </c>
      <c r="U73" s="10">
        <f t="shared" si="9"/>
        <v>0</v>
      </c>
      <c r="V73" s="10">
        <f t="shared" si="10"/>
        <v>0</v>
      </c>
      <c r="W73" s="10">
        <f t="shared" si="11"/>
        <v>0</v>
      </c>
      <c r="X73" s="10">
        <f t="shared" si="12"/>
        <v>0</v>
      </c>
      <c r="Y73" s="10">
        <f t="shared" si="13"/>
        <v>0</v>
      </c>
      <c r="Z73" s="51">
        <f t="shared" si="14"/>
        <v>0</v>
      </c>
      <c r="AA73" s="52"/>
      <c r="AB73" s="15">
        <f t="shared" si="15"/>
        <v>0</v>
      </c>
      <c r="AC73" s="18"/>
    </row>
    <row r="74" ht="18.75" customHeight="1">
      <c r="A74" s="54" t="s">
        <v>289</v>
      </c>
      <c r="B74" s="54" t="s">
        <v>323</v>
      </c>
      <c r="C74" s="45" t="s">
        <v>329</v>
      </c>
      <c r="D74" s="46" t="s">
        <v>163</v>
      </c>
      <c r="E74" s="47" t="s">
        <v>334</v>
      </c>
      <c r="F74" s="48">
        <v>45176.0</v>
      </c>
      <c r="G74" s="49">
        <v>2510.0</v>
      </c>
      <c r="H74" s="12"/>
      <c r="I74" s="12"/>
      <c r="J74" s="12"/>
      <c r="K74" s="12"/>
      <c r="L74" s="12"/>
      <c r="M74" s="50">
        <f t="shared" si="16"/>
        <v>2510</v>
      </c>
      <c r="N74" s="10">
        <f t="shared" si="2"/>
        <v>502</v>
      </c>
      <c r="O74" s="10">
        <f t="shared" si="3"/>
        <v>25.1</v>
      </c>
      <c r="P74" s="10">
        <f t="shared" si="4"/>
        <v>37.65</v>
      </c>
      <c r="Q74" s="10">
        <f t="shared" si="5"/>
        <v>200.8</v>
      </c>
      <c r="R74" s="10">
        <f t="shared" si="6"/>
        <v>209.083</v>
      </c>
      <c r="S74" s="10">
        <f t="shared" si="7"/>
        <v>69.69433333</v>
      </c>
      <c r="T74" s="10">
        <f t="shared" si="8"/>
        <v>22.30218667</v>
      </c>
      <c r="U74" s="10">
        <f t="shared" si="9"/>
        <v>55.75546667</v>
      </c>
      <c r="V74" s="10">
        <f t="shared" si="10"/>
        <v>209.083</v>
      </c>
      <c r="W74" s="10">
        <f t="shared" si="11"/>
        <v>16.72664</v>
      </c>
      <c r="X74" s="10">
        <f t="shared" si="12"/>
        <v>41.8166</v>
      </c>
      <c r="Y74" s="10">
        <f t="shared" si="13"/>
        <v>69.4</v>
      </c>
      <c r="Z74" s="51">
        <f t="shared" si="14"/>
        <v>1459.411227</v>
      </c>
      <c r="AA74" s="52"/>
      <c r="AB74" s="15">
        <f t="shared" si="15"/>
        <v>3969.411227</v>
      </c>
      <c r="AC74" s="18"/>
    </row>
    <row r="75" ht="18.75" customHeight="1">
      <c r="A75" s="54" t="s">
        <v>289</v>
      </c>
      <c r="B75" s="54" t="s">
        <v>323</v>
      </c>
      <c r="C75" s="45" t="s">
        <v>329</v>
      </c>
      <c r="D75" s="46" t="s">
        <v>335</v>
      </c>
      <c r="E75" s="47" t="s">
        <v>334</v>
      </c>
      <c r="F75" s="48">
        <v>45909.0</v>
      </c>
      <c r="G75" s="49">
        <v>2510.0</v>
      </c>
      <c r="H75" s="12"/>
      <c r="I75" s="12"/>
      <c r="J75" s="12"/>
      <c r="K75" s="12"/>
      <c r="L75" s="12"/>
      <c r="M75" s="50">
        <f t="shared" si="16"/>
        <v>2510</v>
      </c>
      <c r="N75" s="10">
        <f t="shared" si="2"/>
        <v>502</v>
      </c>
      <c r="O75" s="10">
        <f t="shared" si="3"/>
        <v>25.1</v>
      </c>
      <c r="P75" s="10">
        <f t="shared" si="4"/>
        <v>37.65</v>
      </c>
      <c r="Q75" s="10">
        <f t="shared" si="5"/>
        <v>200.8</v>
      </c>
      <c r="R75" s="10">
        <f t="shared" si="6"/>
        <v>209.083</v>
      </c>
      <c r="S75" s="10">
        <f t="shared" si="7"/>
        <v>69.69433333</v>
      </c>
      <c r="T75" s="10">
        <f t="shared" si="8"/>
        <v>22.30218667</v>
      </c>
      <c r="U75" s="10">
        <f t="shared" si="9"/>
        <v>55.75546667</v>
      </c>
      <c r="V75" s="10">
        <f t="shared" si="10"/>
        <v>209.083</v>
      </c>
      <c r="W75" s="10">
        <f t="shared" si="11"/>
        <v>16.72664</v>
      </c>
      <c r="X75" s="10">
        <f t="shared" si="12"/>
        <v>41.8166</v>
      </c>
      <c r="Y75" s="10">
        <f t="shared" si="13"/>
        <v>69.4</v>
      </c>
      <c r="Z75" s="51">
        <f t="shared" si="14"/>
        <v>1459.411227</v>
      </c>
      <c r="AA75" s="52"/>
      <c r="AB75" s="15">
        <f t="shared" si="15"/>
        <v>3969.411227</v>
      </c>
      <c r="AC75" s="18"/>
    </row>
    <row r="76" ht="18.75" customHeight="1">
      <c r="A76" s="54" t="s">
        <v>289</v>
      </c>
      <c r="B76" s="54" t="s">
        <v>323</v>
      </c>
      <c r="C76" s="45" t="s">
        <v>329</v>
      </c>
      <c r="D76" s="46" t="s">
        <v>161</v>
      </c>
      <c r="E76" s="47" t="s">
        <v>334</v>
      </c>
      <c r="F76" s="48">
        <v>44841.0</v>
      </c>
      <c r="G76" s="49">
        <v>2510.0</v>
      </c>
      <c r="H76" s="12"/>
      <c r="I76" s="12"/>
      <c r="J76" s="12"/>
      <c r="K76" s="12"/>
      <c r="L76" s="12"/>
      <c r="M76" s="50">
        <f t="shared" si="16"/>
        <v>2510</v>
      </c>
      <c r="N76" s="10">
        <f t="shared" si="2"/>
        <v>502</v>
      </c>
      <c r="O76" s="10">
        <f t="shared" si="3"/>
        <v>25.1</v>
      </c>
      <c r="P76" s="10">
        <f t="shared" si="4"/>
        <v>37.65</v>
      </c>
      <c r="Q76" s="10">
        <f t="shared" si="5"/>
        <v>200.8</v>
      </c>
      <c r="R76" s="10">
        <f t="shared" si="6"/>
        <v>209.083</v>
      </c>
      <c r="S76" s="10">
        <f t="shared" si="7"/>
        <v>69.69433333</v>
      </c>
      <c r="T76" s="10">
        <f t="shared" si="8"/>
        <v>22.30218667</v>
      </c>
      <c r="U76" s="10">
        <f t="shared" si="9"/>
        <v>55.75546667</v>
      </c>
      <c r="V76" s="10">
        <f t="shared" si="10"/>
        <v>209.083</v>
      </c>
      <c r="W76" s="10">
        <f t="shared" si="11"/>
        <v>16.72664</v>
      </c>
      <c r="X76" s="10">
        <f t="shared" si="12"/>
        <v>41.8166</v>
      </c>
      <c r="Y76" s="10">
        <f t="shared" si="13"/>
        <v>69.4</v>
      </c>
      <c r="Z76" s="51">
        <f t="shared" si="14"/>
        <v>1459.411227</v>
      </c>
      <c r="AA76" s="52"/>
      <c r="AB76" s="15">
        <f t="shared" si="15"/>
        <v>3969.411227</v>
      </c>
      <c r="AC76" s="18"/>
    </row>
    <row r="77" ht="18.75" customHeight="1">
      <c r="A77" s="54" t="s">
        <v>289</v>
      </c>
      <c r="B77" s="54" t="s">
        <v>323</v>
      </c>
      <c r="C77" s="45" t="s">
        <v>329</v>
      </c>
      <c r="D77" s="46" t="s">
        <v>165</v>
      </c>
      <c r="E77" s="47" t="s">
        <v>334</v>
      </c>
      <c r="F77" s="48">
        <v>44527.0</v>
      </c>
      <c r="G77" s="49">
        <v>2510.0</v>
      </c>
      <c r="H77" s="12"/>
      <c r="I77" s="12"/>
      <c r="J77" s="12"/>
      <c r="K77" s="12"/>
      <c r="L77" s="12"/>
      <c r="M77" s="50">
        <f t="shared" si="16"/>
        <v>2510</v>
      </c>
      <c r="N77" s="10">
        <f t="shared" si="2"/>
        <v>502</v>
      </c>
      <c r="O77" s="10">
        <f t="shared" si="3"/>
        <v>25.1</v>
      </c>
      <c r="P77" s="10">
        <f t="shared" si="4"/>
        <v>37.65</v>
      </c>
      <c r="Q77" s="10">
        <f t="shared" si="5"/>
        <v>200.8</v>
      </c>
      <c r="R77" s="10">
        <f t="shared" si="6"/>
        <v>209.083</v>
      </c>
      <c r="S77" s="10">
        <f t="shared" si="7"/>
        <v>69.69433333</v>
      </c>
      <c r="T77" s="10">
        <f t="shared" si="8"/>
        <v>22.30218667</v>
      </c>
      <c r="U77" s="10">
        <f t="shared" si="9"/>
        <v>55.75546667</v>
      </c>
      <c r="V77" s="10">
        <f t="shared" si="10"/>
        <v>209.083</v>
      </c>
      <c r="W77" s="10">
        <f t="shared" si="11"/>
        <v>16.72664</v>
      </c>
      <c r="X77" s="10">
        <f t="shared" si="12"/>
        <v>41.8166</v>
      </c>
      <c r="Y77" s="10">
        <f t="shared" si="13"/>
        <v>69.4</v>
      </c>
      <c r="Z77" s="51">
        <f t="shared" si="14"/>
        <v>1459.411227</v>
      </c>
      <c r="AA77" s="52"/>
      <c r="AB77" s="15">
        <f t="shared" si="15"/>
        <v>3969.411227</v>
      </c>
      <c r="AC77" s="18"/>
    </row>
    <row r="78" ht="18.75" customHeight="1">
      <c r="A78" s="44" t="s">
        <v>289</v>
      </c>
      <c r="B78" s="54" t="s">
        <v>323</v>
      </c>
      <c r="C78" s="53" t="s">
        <v>277</v>
      </c>
      <c r="D78" s="46"/>
      <c r="E78" s="47" t="s">
        <v>336</v>
      </c>
      <c r="F78" s="48"/>
      <c r="G78" s="49">
        <v>0.0</v>
      </c>
      <c r="H78" s="12"/>
      <c r="I78" s="12"/>
      <c r="J78" s="12"/>
      <c r="K78" s="12"/>
      <c r="L78" s="12"/>
      <c r="M78" s="50">
        <f t="shared" si="16"/>
        <v>0</v>
      </c>
      <c r="N78" s="10">
        <f t="shared" si="2"/>
        <v>0</v>
      </c>
      <c r="O78" s="10">
        <f t="shared" si="3"/>
        <v>0</v>
      </c>
      <c r="P78" s="10">
        <f t="shared" si="4"/>
        <v>0</v>
      </c>
      <c r="Q78" s="10">
        <f t="shared" si="5"/>
        <v>0</v>
      </c>
      <c r="R78" s="10">
        <f t="shared" si="6"/>
        <v>0</v>
      </c>
      <c r="S78" s="10">
        <f t="shared" si="7"/>
        <v>0</v>
      </c>
      <c r="T78" s="10">
        <f t="shared" si="8"/>
        <v>0</v>
      </c>
      <c r="U78" s="10">
        <f t="shared" si="9"/>
        <v>0</v>
      </c>
      <c r="V78" s="10">
        <f t="shared" si="10"/>
        <v>0</v>
      </c>
      <c r="W78" s="10">
        <f t="shared" si="11"/>
        <v>0</v>
      </c>
      <c r="X78" s="10">
        <f t="shared" si="12"/>
        <v>0</v>
      </c>
      <c r="Y78" s="10">
        <f t="shared" si="13"/>
        <v>0</v>
      </c>
      <c r="Z78" s="51">
        <f t="shared" si="14"/>
        <v>0</v>
      </c>
      <c r="AA78" s="52"/>
      <c r="AB78" s="15">
        <f t="shared" si="15"/>
        <v>0</v>
      </c>
      <c r="AC78" s="18"/>
    </row>
    <row r="79" ht="18.75" customHeight="1">
      <c r="A79" s="54" t="s">
        <v>289</v>
      </c>
      <c r="B79" s="54" t="s">
        <v>323</v>
      </c>
      <c r="C79" s="45" t="s">
        <v>329</v>
      </c>
      <c r="D79" s="46" t="s">
        <v>337</v>
      </c>
      <c r="E79" s="47" t="s">
        <v>178</v>
      </c>
      <c r="F79" s="48">
        <v>45905.0</v>
      </c>
      <c r="G79" s="49">
        <v>2190.0</v>
      </c>
      <c r="H79" s="12"/>
      <c r="I79" s="12"/>
      <c r="J79" s="12"/>
      <c r="K79" s="12"/>
      <c r="L79" s="12"/>
      <c r="M79" s="50">
        <f t="shared" si="16"/>
        <v>2190</v>
      </c>
      <c r="N79" s="10">
        <f t="shared" si="2"/>
        <v>438</v>
      </c>
      <c r="O79" s="10">
        <f t="shared" si="3"/>
        <v>21.9</v>
      </c>
      <c r="P79" s="10">
        <f t="shared" si="4"/>
        <v>32.85</v>
      </c>
      <c r="Q79" s="10">
        <f t="shared" si="5"/>
        <v>175.2</v>
      </c>
      <c r="R79" s="10">
        <f t="shared" si="6"/>
        <v>182.427</v>
      </c>
      <c r="S79" s="10">
        <f t="shared" si="7"/>
        <v>60.809</v>
      </c>
      <c r="T79" s="10">
        <f t="shared" si="8"/>
        <v>19.45888</v>
      </c>
      <c r="U79" s="10">
        <f t="shared" si="9"/>
        <v>48.6472</v>
      </c>
      <c r="V79" s="10">
        <f t="shared" si="10"/>
        <v>182.427</v>
      </c>
      <c r="W79" s="10">
        <f t="shared" si="11"/>
        <v>14.59416</v>
      </c>
      <c r="X79" s="10">
        <f t="shared" si="12"/>
        <v>36.4854</v>
      </c>
      <c r="Y79" s="10">
        <f t="shared" si="13"/>
        <v>88.6</v>
      </c>
      <c r="Z79" s="51">
        <f t="shared" si="14"/>
        <v>1301.39864</v>
      </c>
      <c r="AA79" s="52"/>
      <c r="AB79" s="15">
        <f t="shared" si="15"/>
        <v>3491.39864</v>
      </c>
      <c r="AC79" s="18"/>
    </row>
    <row r="80" ht="18.75" customHeight="1">
      <c r="A80" s="54" t="s">
        <v>289</v>
      </c>
      <c r="B80" s="54" t="s">
        <v>323</v>
      </c>
      <c r="C80" s="45" t="s">
        <v>329</v>
      </c>
      <c r="D80" s="46" t="s">
        <v>177</v>
      </c>
      <c r="E80" s="47" t="s">
        <v>338</v>
      </c>
      <c r="F80" s="48">
        <v>45434.0</v>
      </c>
      <c r="G80" s="49">
        <v>2282.0</v>
      </c>
      <c r="H80" s="12"/>
      <c r="I80" s="12"/>
      <c r="J80" s="12"/>
      <c r="K80" s="12"/>
      <c r="L80" s="12"/>
      <c r="M80" s="50">
        <f t="shared" si="16"/>
        <v>2282</v>
      </c>
      <c r="N80" s="10">
        <f t="shared" si="2"/>
        <v>456.4</v>
      </c>
      <c r="O80" s="10">
        <f t="shared" si="3"/>
        <v>22.82</v>
      </c>
      <c r="P80" s="10">
        <f t="shared" si="4"/>
        <v>34.23</v>
      </c>
      <c r="Q80" s="10">
        <f t="shared" si="5"/>
        <v>182.56</v>
      </c>
      <c r="R80" s="10">
        <f t="shared" si="6"/>
        <v>190.0906</v>
      </c>
      <c r="S80" s="10">
        <f t="shared" si="7"/>
        <v>63.36353333</v>
      </c>
      <c r="T80" s="10">
        <f t="shared" si="8"/>
        <v>20.27633067</v>
      </c>
      <c r="U80" s="10">
        <f t="shared" si="9"/>
        <v>50.69082667</v>
      </c>
      <c r="V80" s="10">
        <f t="shared" si="10"/>
        <v>190.0906</v>
      </c>
      <c r="W80" s="10">
        <f t="shared" si="11"/>
        <v>15.207248</v>
      </c>
      <c r="X80" s="10">
        <f t="shared" si="12"/>
        <v>38.01812</v>
      </c>
      <c r="Y80" s="10">
        <f t="shared" si="13"/>
        <v>83.08</v>
      </c>
      <c r="Z80" s="51">
        <f t="shared" si="14"/>
        <v>1346.827259</v>
      </c>
      <c r="AA80" s="52"/>
      <c r="AB80" s="15">
        <f t="shared" si="15"/>
        <v>3628.827259</v>
      </c>
      <c r="AC80" s="18"/>
    </row>
    <row r="81" ht="18.75" customHeight="1">
      <c r="A81" s="44" t="s">
        <v>289</v>
      </c>
      <c r="B81" s="54" t="s">
        <v>323</v>
      </c>
      <c r="C81" s="45" t="s">
        <v>329</v>
      </c>
      <c r="D81" s="46" t="s">
        <v>339</v>
      </c>
      <c r="E81" s="47" t="s">
        <v>340</v>
      </c>
      <c r="F81" s="48">
        <v>46001.0</v>
      </c>
      <c r="G81" s="49">
        <v>2282.0</v>
      </c>
      <c r="H81" s="12"/>
      <c r="I81" s="12"/>
      <c r="J81" s="12"/>
      <c r="K81" s="12"/>
      <c r="L81" s="12"/>
      <c r="M81" s="50">
        <f t="shared" si="16"/>
        <v>2282</v>
      </c>
      <c r="N81" s="10">
        <f t="shared" si="2"/>
        <v>456.4</v>
      </c>
      <c r="O81" s="10">
        <f t="shared" si="3"/>
        <v>22.82</v>
      </c>
      <c r="P81" s="10">
        <f t="shared" si="4"/>
        <v>34.23</v>
      </c>
      <c r="Q81" s="10">
        <f t="shared" si="5"/>
        <v>182.56</v>
      </c>
      <c r="R81" s="10">
        <f t="shared" si="6"/>
        <v>190.0906</v>
      </c>
      <c r="S81" s="10">
        <f t="shared" si="7"/>
        <v>63.36353333</v>
      </c>
      <c r="T81" s="10">
        <f t="shared" si="8"/>
        <v>20.27633067</v>
      </c>
      <c r="U81" s="10">
        <f t="shared" si="9"/>
        <v>50.69082667</v>
      </c>
      <c r="V81" s="10">
        <f t="shared" si="10"/>
        <v>190.0906</v>
      </c>
      <c r="W81" s="10">
        <f t="shared" si="11"/>
        <v>15.207248</v>
      </c>
      <c r="X81" s="10">
        <f t="shared" si="12"/>
        <v>38.01812</v>
      </c>
      <c r="Y81" s="10">
        <f t="shared" si="13"/>
        <v>83.08</v>
      </c>
      <c r="Z81" s="51">
        <f t="shared" si="14"/>
        <v>1346.827259</v>
      </c>
      <c r="AA81" s="52"/>
      <c r="AB81" s="15">
        <f t="shared" si="15"/>
        <v>3628.827259</v>
      </c>
      <c r="AC81" s="18"/>
    </row>
    <row r="82" ht="18.75" customHeight="1">
      <c r="A82" s="54" t="s">
        <v>289</v>
      </c>
      <c r="B82" s="54" t="s">
        <v>323</v>
      </c>
      <c r="C82" s="45" t="s">
        <v>324</v>
      </c>
      <c r="D82" s="46" t="s">
        <v>341</v>
      </c>
      <c r="E82" s="47" t="s">
        <v>336</v>
      </c>
      <c r="F82" s="48">
        <v>46001.0</v>
      </c>
      <c r="G82" s="49">
        <v>2282.0</v>
      </c>
      <c r="H82" s="12"/>
      <c r="I82" s="12"/>
      <c r="J82" s="12"/>
      <c r="K82" s="12"/>
      <c r="L82" s="12"/>
      <c r="M82" s="50">
        <f t="shared" si="16"/>
        <v>2282</v>
      </c>
      <c r="N82" s="10">
        <f t="shared" si="2"/>
        <v>456.4</v>
      </c>
      <c r="O82" s="10">
        <f t="shared" si="3"/>
        <v>22.82</v>
      </c>
      <c r="P82" s="10">
        <f t="shared" si="4"/>
        <v>34.23</v>
      </c>
      <c r="Q82" s="10">
        <f t="shared" si="5"/>
        <v>182.56</v>
      </c>
      <c r="R82" s="10">
        <f t="shared" si="6"/>
        <v>190.0906</v>
      </c>
      <c r="S82" s="10">
        <f t="shared" si="7"/>
        <v>63.36353333</v>
      </c>
      <c r="T82" s="10">
        <f t="shared" si="8"/>
        <v>20.27633067</v>
      </c>
      <c r="U82" s="10">
        <f t="shared" si="9"/>
        <v>50.69082667</v>
      </c>
      <c r="V82" s="10">
        <f t="shared" si="10"/>
        <v>190.0906</v>
      </c>
      <c r="W82" s="10">
        <f t="shared" si="11"/>
        <v>15.207248</v>
      </c>
      <c r="X82" s="10">
        <f t="shared" si="12"/>
        <v>38.01812</v>
      </c>
      <c r="Y82" s="10">
        <f t="shared" si="13"/>
        <v>83.08</v>
      </c>
      <c r="Z82" s="51">
        <f t="shared" si="14"/>
        <v>1346.827259</v>
      </c>
      <c r="AA82" s="52"/>
      <c r="AB82" s="15">
        <f t="shared" si="15"/>
        <v>3628.827259</v>
      </c>
      <c r="AC82" s="18"/>
    </row>
    <row r="83" ht="18.75" customHeight="1">
      <c r="A83" s="54" t="s">
        <v>289</v>
      </c>
      <c r="B83" s="54" t="s">
        <v>323</v>
      </c>
      <c r="C83" s="45" t="s">
        <v>324</v>
      </c>
      <c r="D83" s="46" t="s">
        <v>342</v>
      </c>
      <c r="E83" s="47" t="s">
        <v>334</v>
      </c>
      <c r="F83" s="48">
        <v>45665.0</v>
      </c>
      <c r="G83" s="49">
        <v>2510.0</v>
      </c>
      <c r="H83" s="12"/>
      <c r="I83" s="12"/>
      <c r="J83" s="12"/>
      <c r="K83" s="12"/>
      <c r="L83" s="12"/>
      <c r="M83" s="50">
        <f t="shared" si="16"/>
        <v>2510</v>
      </c>
      <c r="N83" s="10">
        <f t="shared" si="2"/>
        <v>502</v>
      </c>
      <c r="O83" s="10">
        <f t="shared" si="3"/>
        <v>25.1</v>
      </c>
      <c r="P83" s="10">
        <f t="shared" si="4"/>
        <v>37.65</v>
      </c>
      <c r="Q83" s="10">
        <f t="shared" si="5"/>
        <v>200.8</v>
      </c>
      <c r="R83" s="10">
        <f t="shared" si="6"/>
        <v>209.083</v>
      </c>
      <c r="S83" s="10">
        <f t="shared" si="7"/>
        <v>69.69433333</v>
      </c>
      <c r="T83" s="10">
        <f t="shared" si="8"/>
        <v>22.30218667</v>
      </c>
      <c r="U83" s="10">
        <f t="shared" si="9"/>
        <v>55.75546667</v>
      </c>
      <c r="V83" s="10">
        <f t="shared" si="10"/>
        <v>209.083</v>
      </c>
      <c r="W83" s="10">
        <f t="shared" si="11"/>
        <v>16.72664</v>
      </c>
      <c r="X83" s="10">
        <f t="shared" si="12"/>
        <v>41.8166</v>
      </c>
      <c r="Y83" s="10">
        <f t="shared" si="13"/>
        <v>69.4</v>
      </c>
      <c r="Z83" s="51">
        <f t="shared" si="14"/>
        <v>1459.411227</v>
      </c>
      <c r="AA83" s="52"/>
      <c r="AB83" s="15">
        <f t="shared" si="15"/>
        <v>3969.411227</v>
      </c>
      <c r="AC83" s="18"/>
    </row>
    <row r="84" ht="18.75" customHeight="1">
      <c r="A84" s="54" t="s">
        <v>289</v>
      </c>
      <c r="B84" s="54" t="s">
        <v>323</v>
      </c>
      <c r="C84" s="45" t="s">
        <v>324</v>
      </c>
      <c r="D84" s="46" t="s">
        <v>343</v>
      </c>
      <c r="E84" s="47" t="s">
        <v>336</v>
      </c>
      <c r="F84" s="48">
        <v>45999.0</v>
      </c>
      <c r="G84" s="49">
        <v>2282.0</v>
      </c>
      <c r="H84" s="12"/>
      <c r="I84" s="12"/>
      <c r="J84" s="12"/>
      <c r="K84" s="12"/>
      <c r="L84" s="12"/>
      <c r="M84" s="50">
        <f t="shared" si="16"/>
        <v>2282</v>
      </c>
      <c r="N84" s="10">
        <f t="shared" si="2"/>
        <v>456.4</v>
      </c>
      <c r="O84" s="10">
        <f t="shared" si="3"/>
        <v>22.82</v>
      </c>
      <c r="P84" s="10">
        <f t="shared" si="4"/>
        <v>34.23</v>
      </c>
      <c r="Q84" s="10">
        <f t="shared" si="5"/>
        <v>182.56</v>
      </c>
      <c r="R84" s="10">
        <f t="shared" si="6"/>
        <v>190.0906</v>
      </c>
      <c r="S84" s="10">
        <f t="shared" si="7"/>
        <v>63.36353333</v>
      </c>
      <c r="T84" s="10">
        <f t="shared" si="8"/>
        <v>20.27633067</v>
      </c>
      <c r="U84" s="10">
        <f t="shared" si="9"/>
        <v>50.69082667</v>
      </c>
      <c r="V84" s="10">
        <f t="shared" si="10"/>
        <v>190.0906</v>
      </c>
      <c r="W84" s="10">
        <f t="shared" si="11"/>
        <v>15.207248</v>
      </c>
      <c r="X84" s="10">
        <f t="shared" si="12"/>
        <v>38.01812</v>
      </c>
      <c r="Y84" s="10">
        <f t="shared" si="13"/>
        <v>83.08</v>
      </c>
      <c r="Z84" s="51">
        <f t="shared" si="14"/>
        <v>1346.827259</v>
      </c>
      <c r="AA84" s="52"/>
      <c r="AB84" s="15">
        <f t="shared" si="15"/>
        <v>3628.827259</v>
      </c>
      <c r="AC84" s="18"/>
    </row>
    <row r="85" ht="18.75" customHeight="1">
      <c r="A85" s="54" t="s">
        <v>289</v>
      </c>
      <c r="B85" s="54" t="s">
        <v>323</v>
      </c>
      <c r="C85" s="45" t="s">
        <v>324</v>
      </c>
      <c r="D85" s="46" t="s">
        <v>344</v>
      </c>
      <c r="E85" s="47" t="s">
        <v>336</v>
      </c>
      <c r="F85" s="48">
        <v>45918.0</v>
      </c>
      <c r="G85" s="49">
        <v>2282.0</v>
      </c>
      <c r="H85" s="12"/>
      <c r="I85" s="12"/>
      <c r="J85" s="12"/>
      <c r="K85" s="12"/>
      <c r="L85" s="12"/>
      <c r="M85" s="50">
        <f t="shared" si="16"/>
        <v>2282</v>
      </c>
      <c r="N85" s="10">
        <f t="shared" si="2"/>
        <v>456.4</v>
      </c>
      <c r="O85" s="10">
        <f t="shared" si="3"/>
        <v>22.82</v>
      </c>
      <c r="P85" s="10">
        <f t="shared" si="4"/>
        <v>34.23</v>
      </c>
      <c r="Q85" s="10">
        <f t="shared" si="5"/>
        <v>182.56</v>
      </c>
      <c r="R85" s="10">
        <f t="shared" si="6"/>
        <v>190.0906</v>
      </c>
      <c r="S85" s="10">
        <f t="shared" si="7"/>
        <v>63.36353333</v>
      </c>
      <c r="T85" s="10">
        <f t="shared" si="8"/>
        <v>20.27633067</v>
      </c>
      <c r="U85" s="10">
        <f t="shared" si="9"/>
        <v>50.69082667</v>
      </c>
      <c r="V85" s="10">
        <f t="shared" si="10"/>
        <v>190.0906</v>
      </c>
      <c r="W85" s="10">
        <f t="shared" si="11"/>
        <v>15.207248</v>
      </c>
      <c r="X85" s="10">
        <f t="shared" si="12"/>
        <v>38.01812</v>
      </c>
      <c r="Y85" s="10">
        <f t="shared" si="13"/>
        <v>83.08</v>
      </c>
      <c r="Z85" s="51">
        <f t="shared" si="14"/>
        <v>1346.827259</v>
      </c>
      <c r="AA85" s="52"/>
      <c r="AB85" s="15">
        <f t="shared" si="15"/>
        <v>3628.827259</v>
      </c>
      <c r="AC85" s="18"/>
    </row>
    <row r="86" ht="18.75" customHeight="1">
      <c r="A86" s="54" t="s">
        <v>289</v>
      </c>
      <c r="B86" s="54" t="s">
        <v>323</v>
      </c>
      <c r="C86" s="45" t="s">
        <v>324</v>
      </c>
      <c r="D86" s="46" t="s">
        <v>345</v>
      </c>
      <c r="E86" s="47" t="s">
        <v>340</v>
      </c>
      <c r="F86" s="48">
        <v>45992.0</v>
      </c>
      <c r="G86" s="49">
        <v>2282.0</v>
      </c>
      <c r="H86" s="12"/>
      <c r="I86" s="12"/>
      <c r="J86" s="12"/>
      <c r="K86" s="12"/>
      <c r="L86" s="12"/>
      <c r="M86" s="50">
        <f t="shared" si="16"/>
        <v>2282</v>
      </c>
      <c r="N86" s="10">
        <f t="shared" si="2"/>
        <v>456.4</v>
      </c>
      <c r="O86" s="10">
        <f t="shared" si="3"/>
        <v>22.82</v>
      </c>
      <c r="P86" s="10">
        <f t="shared" si="4"/>
        <v>34.23</v>
      </c>
      <c r="Q86" s="10">
        <f t="shared" si="5"/>
        <v>182.56</v>
      </c>
      <c r="R86" s="10">
        <f t="shared" si="6"/>
        <v>190.0906</v>
      </c>
      <c r="S86" s="10">
        <f t="shared" si="7"/>
        <v>63.36353333</v>
      </c>
      <c r="T86" s="10">
        <f t="shared" si="8"/>
        <v>20.27633067</v>
      </c>
      <c r="U86" s="10">
        <f t="shared" si="9"/>
        <v>50.69082667</v>
      </c>
      <c r="V86" s="10">
        <f t="shared" si="10"/>
        <v>190.0906</v>
      </c>
      <c r="W86" s="10">
        <f t="shared" si="11"/>
        <v>15.207248</v>
      </c>
      <c r="X86" s="10">
        <f t="shared" si="12"/>
        <v>38.01812</v>
      </c>
      <c r="Y86" s="10">
        <f t="shared" si="13"/>
        <v>83.08</v>
      </c>
      <c r="Z86" s="51">
        <f t="shared" si="14"/>
        <v>1346.827259</v>
      </c>
      <c r="AA86" s="52"/>
      <c r="AB86" s="15">
        <f t="shared" si="15"/>
        <v>3628.827259</v>
      </c>
      <c r="AC86" s="18"/>
    </row>
    <row r="87" ht="18.75" customHeight="1">
      <c r="A87" s="54" t="s">
        <v>289</v>
      </c>
      <c r="B87" s="54" t="s">
        <v>323</v>
      </c>
      <c r="C87" s="45" t="s">
        <v>324</v>
      </c>
      <c r="D87" s="46" t="s">
        <v>170</v>
      </c>
      <c r="E87" s="47" t="s">
        <v>340</v>
      </c>
      <c r="F87" s="48">
        <v>45042.0</v>
      </c>
      <c r="G87" s="49">
        <v>2282.0</v>
      </c>
      <c r="H87" s="12"/>
      <c r="I87" s="12"/>
      <c r="J87" s="12">
        <f>G87*10%</f>
        <v>228.2</v>
      </c>
      <c r="K87" s="12"/>
      <c r="L87" s="12"/>
      <c r="M87" s="50">
        <f t="shared" si="16"/>
        <v>2510.2</v>
      </c>
      <c r="N87" s="10">
        <f t="shared" si="2"/>
        <v>502.04</v>
      </c>
      <c r="O87" s="10">
        <f t="shared" si="3"/>
        <v>22.82</v>
      </c>
      <c r="P87" s="10">
        <f t="shared" si="4"/>
        <v>34.23</v>
      </c>
      <c r="Q87" s="10">
        <f t="shared" si="5"/>
        <v>200.816</v>
      </c>
      <c r="R87" s="10">
        <f t="shared" si="6"/>
        <v>190.0906</v>
      </c>
      <c r="S87" s="10">
        <f t="shared" si="7"/>
        <v>63.36353333</v>
      </c>
      <c r="T87" s="10">
        <f t="shared" si="8"/>
        <v>20.27633067</v>
      </c>
      <c r="U87" s="10">
        <f t="shared" si="9"/>
        <v>50.69082667</v>
      </c>
      <c r="V87" s="10">
        <f t="shared" si="10"/>
        <v>190.0906</v>
      </c>
      <c r="W87" s="10">
        <f t="shared" si="11"/>
        <v>15.207248</v>
      </c>
      <c r="X87" s="10">
        <f t="shared" si="12"/>
        <v>38.01812</v>
      </c>
      <c r="Y87" s="10">
        <f t="shared" si="13"/>
        <v>83.08</v>
      </c>
      <c r="Z87" s="51">
        <f t="shared" si="14"/>
        <v>1410.723259</v>
      </c>
      <c r="AA87" s="52"/>
      <c r="AB87" s="15">
        <f t="shared" si="15"/>
        <v>3920.923259</v>
      </c>
      <c r="AC87" s="18"/>
    </row>
    <row r="88" ht="18.75" customHeight="1">
      <c r="A88" s="44" t="s">
        <v>289</v>
      </c>
      <c r="B88" s="54" t="s">
        <v>323</v>
      </c>
      <c r="C88" s="45" t="s">
        <v>324</v>
      </c>
      <c r="D88" s="46" t="s">
        <v>346</v>
      </c>
      <c r="E88" s="47" t="s">
        <v>336</v>
      </c>
      <c r="F88" s="48">
        <v>45673.0</v>
      </c>
      <c r="G88" s="49">
        <v>2282.0</v>
      </c>
      <c r="H88" s="12"/>
      <c r="I88" s="12"/>
      <c r="J88" s="12"/>
      <c r="K88" s="12"/>
      <c r="L88" s="12"/>
      <c r="M88" s="50">
        <f t="shared" si="16"/>
        <v>2282</v>
      </c>
      <c r="N88" s="10">
        <f t="shared" si="2"/>
        <v>456.4</v>
      </c>
      <c r="O88" s="10">
        <f t="shared" si="3"/>
        <v>22.82</v>
      </c>
      <c r="P88" s="10">
        <f t="shared" si="4"/>
        <v>34.23</v>
      </c>
      <c r="Q88" s="10">
        <f t="shared" si="5"/>
        <v>182.56</v>
      </c>
      <c r="R88" s="10">
        <f t="shared" si="6"/>
        <v>190.0906</v>
      </c>
      <c r="S88" s="10">
        <f t="shared" si="7"/>
        <v>63.36353333</v>
      </c>
      <c r="T88" s="10">
        <f t="shared" si="8"/>
        <v>20.27633067</v>
      </c>
      <c r="U88" s="10">
        <f t="shared" si="9"/>
        <v>50.69082667</v>
      </c>
      <c r="V88" s="10">
        <f t="shared" si="10"/>
        <v>190.0906</v>
      </c>
      <c r="W88" s="10">
        <f t="shared" si="11"/>
        <v>15.207248</v>
      </c>
      <c r="X88" s="10">
        <f t="shared" si="12"/>
        <v>38.01812</v>
      </c>
      <c r="Y88" s="10">
        <f t="shared" si="13"/>
        <v>83.08</v>
      </c>
      <c r="Z88" s="51">
        <f t="shared" si="14"/>
        <v>1346.827259</v>
      </c>
      <c r="AA88" s="52"/>
      <c r="AB88" s="15">
        <f t="shared" si="15"/>
        <v>3628.827259</v>
      </c>
      <c r="AC88" s="18"/>
    </row>
    <row r="89" ht="18.75" customHeight="1">
      <c r="A89" s="54" t="s">
        <v>289</v>
      </c>
      <c r="B89" s="54" t="s">
        <v>323</v>
      </c>
      <c r="C89" s="53" t="s">
        <v>277</v>
      </c>
      <c r="D89" s="46"/>
      <c r="E89" s="47" t="s">
        <v>336</v>
      </c>
      <c r="F89" s="48"/>
      <c r="G89" s="49">
        <v>0.0</v>
      </c>
      <c r="H89" s="12"/>
      <c r="I89" s="12"/>
      <c r="J89" s="12"/>
      <c r="K89" s="12"/>
      <c r="L89" s="12"/>
      <c r="M89" s="50">
        <f t="shared" si="16"/>
        <v>0</v>
      </c>
      <c r="N89" s="10">
        <f t="shared" si="2"/>
        <v>0</v>
      </c>
      <c r="O89" s="10">
        <f t="shared" si="3"/>
        <v>0</v>
      </c>
      <c r="P89" s="10">
        <f t="shared" si="4"/>
        <v>0</v>
      </c>
      <c r="Q89" s="10">
        <f t="shared" si="5"/>
        <v>0</v>
      </c>
      <c r="R89" s="10">
        <f t="shared" si="6"/>
        <v>0</v>
      </c>
      <c r="S89" s="10">
        <f t="shared" si="7"/>
        <v>0</v>
      </c>
      <c r="T89" s="10">
        <f t="shared" si="8"/>
        <v>0</v>
      </c>
      <c r="U89" s="10">
        <f t="shared" si="9"/>
        <v>0</v>
      </c>
      <c r="V89" s="10">
        <f t="shared" si="10"/>
        <v>0</v>
      </c>
      <c r="W89" s="10">
        <f t="shared" si="11"/>
        <v>0</v>
      </c>
      <c r="X89" s="10">
        <f t="shared" si="12"/>
        <v>0</v>
      </c>
      <c r="Y89" s="10">
        <f t="shared" si="13"/>
        <v>0</v>
      </c>
      <c r="Z89" s="51">
        <f t="shared" si="14"/>
        <v>0</v>
      </c>
      <c r="AA89" s="52"/>
      <c r="AB89" s="15">
        <f t="shared" si="15"/>
        <v>0</v>
      </c>
      <c r="AC89" s="18"/>
    </row>
    <row r="90" ht="18.75" customHeight="1">
      <c r="A90" s="54" t="s">
        <v>289</v>
      </c>
      <c r="B90" s="54" t="s">
        <v>327</v>
      </c>
      <c r="C90" s="45" t="s">
        <v>324</v>
      </c>
      <c r="D90" s="46" t="s">
        <v>347</v>
      </c>
      <c r="E90" s="47" t="s">
        <v>193</v>
      </c>
      <c r="F90" s="48">
        <v>45882.0</v>
      </c>
      <c r="G90" s="49">
        <v>2190.0</v>
      </c>
      <c r="H90" s="12"/>
      <c r="I90" s="12"/>
      <c r="J90" s="12"/>
      <c r="K90" s="12"/>
      <c r="L90" s="12"/>
      <c r="M90" s="50">
        <f t="shared" si="16"/>
        <v>2190</v>
      </c>
      <c r="N90" s="10">
        <f t="shared" si="2"/>
        <v>438</v>
      </c>
      <c r="O90" s="10">
        <f t="shared" si="3"/>
        <v>21.9</v>
      </c>
      <c r="P90" s="10">
        <f t="shared" si="4"/>
        <v>32.85</v>
      </c>
      <c r="Q90" s="10">
        <f t="shared" si="5"/>
        <v>175.2</v>
      </c>
      <c r="R90" s="10">
        <f t="shared" si="6"/>
        <v>182.427</v>
      </c>
      <c r="S90" s="10">
        <f t="shared" si="7"/>
        <v>60.809</v>
      </c>
      <c r="T90" s="10">
        <f t="shared" si="8"/>
        <v>19.45888</v>
      </c>
      <c r="U90" s="10">
        <f t="shared" si="9"/>
        <v>48.6472</v>
      </c>
      <c r="V90" s="10">
        <f t="shared" si="10"/>
        <v>182.427</v>
      </c>
      <c r="W90" s="10">
        <f t="shared" si="11"/>
        <v>14.59416</v>
      </c>
      <c r="X90" s="10">
        <f t="shared" si="12"/>
        <v>36.4854</v>
      </c>
      <c r="Y90" s="10">
        <f t="shared" si="13"/>
        <v>88.6</v>
      </c>
      <c r="Z90" s="51">
        <f t="shared" si="14"/>
        <v>1301.39864</v>
      </c>
      <c r="AA90" s="52"/>
      <c r="AB90" s="15">
        <f t="shared" si="15"/>
        <v>3491.39864</v>
      </c>
      <c r="AC90" s="18"/>
    </row>
    <row r="91" ht="18.75" customHeight="1">
      <c r="A91" s="54" t="s">
        <v>289</v>
      </c>
      <c r="B91" s="54" t="s">
        <v>323</v>
      </c>
      <c r="C91" s="45" t="s">
        <v>324</v>
      </c>
      <c r="D91" s="46" t="s">
        <v>348</v>
      </c>
      <c r="E91" s="47" t="s">
        <v>178</v>
      </c>
      <c r="F91" s="48">
        <v>46034.0</v>
      </c>
      <c r="G91" s="49">
        <v>2190.0</v>
      </c>
      <c r="H91" s="12"/>
      <c r="I91" s="12"/>
      <c r="J91" s="12"/>
      <c r="K91" s="12"/>
      <c r="L91" s="12"/>
      <c r="M91" s="50">
        <f t="shared" si="16"/>
        <v>2190</v>
      </c>
      <c r="N91" s="10">
        <f t="shared" si="2"/>
        <v>438</v>
      </c>
      <c r="O91" s="10">
        <f t="shared" si="3"/>
        <v>21.9</v>
      </c>
      <c r="P91" s="10">
        <f t="shared" si="4"/>
        <v>32.85</v>
      </c>
      <c r="Q91" s="10">
        <f t="shared" si="5"/>
        <v>175.2</v>
      </c>
      <c r="R91" s="10">
        <f t="shared" si="6"/>
        <v>182.427</v>
      </c>
      <c r="S91" s="10">
        <f t="shared" si="7"/>
        <v>60.809</v>
      </c>
      <c r="T91" s="10">
        <f t="shared" si="8"/>
        <v>19.45888</v>
      </c>
      <c r="U91" s="10">
        <f t="shared" si="9"/>
        <v>48.6472</v>
      </c>
      <c r="V91" s="10">
        <f t="shared" si="10"/>
        <v>182.427</v>
      </c>
      <c r="W91" s="10">
        <f t="shared" si="11"/>
        <v>14.59416</v>
      </c>
      <c r="X91" s="10">
        <f t="shared" si="12"/>
        <v>36.4854</v>
      </c>
      <c r="Y91" s="10">
        <f t="shared" si="13"/>
        <v>88.6</v>
      </c>
      <c r="Z91" s="51">
        <f t="shared" si="14"/>
        <v>1301.39864</v>
      </c>
      <c r="AA91" s="52"/>
      <c r="AB91" s="15">
        <f t="shared" si="15"/>
        <v>3491.39864</v>
      </c>
      <c r="AC91" s="18"/>
    </row>
    <row r="92" ht="18.75" customHeight="1">
      <c r="A92" s="54" t="s">
        <v>289</v>
      </c>
      <c r="B92" s="54" t="s">
        <v>323</v>
      </c>
      <c r="C92" s="45" t="s">
        <v>324</v>
      </c>
      <c r="D92" s="46" t="s">
        <v>174</v>
      </c>
      <c r="E92" s="47" t="s">
        <v>349</v>
      </c>
      <c r="F92" s="48">
        <v>44471.0</v>
      </c>
      <c r="G92" s="49">
        <v>2886.0</v>
      </c>
      <c r="H92" s="12"/>
      <c r="I92" s="12"/>
      <c r="J92" s="12"/>
      <c r="K92" s="12"/>
      <c r="L92" s="12"/>
      <c r="M92" s="50">
        <f t="shared" si="16"/>
        <v>2886</v>
      </c>
      <c r="N92" s="10">
        <f t="shared" si="2"/>
        <v>577.2</v>
      </c>
      <c r="O92" s="10">
        <f t="shared" si="3"/>
        <v>28.86</v>
      </c>
      <c r="P92" s="10">
        <f t="shared" si="4"/>
        <v>43.29</v>
      </c>
      <c r="Q92" s="10">
        <f t="shared" si="5"/>
        <v>230.88</v>
      </c>
      <c r="R92" s="10">
        <f t="shared" si="6"/>
        <v>240.4038</v>
      </c>
      <c r="S92" s="10">
        <f t="shared" si="7"/>
        <v>80.1346</v>
      </c>
      <c r="T92" s="10">
        <f t="shared" si="8"/>
        <v>25.643072</v>
      </c>
      <c r="U92" s="10">
        <f t="shared" si="9"/>
        <v>64.10768</v>
      </c>
      <c r="V92" s="10">
        <f t="shared" si="10"/>
        <v>240.4038</v>
      </c>
      <c r="W92" s="10">
        <f t="shared" si="11"/>
        <v>19.232304</v>
      </c>
      <c r="X92" s="10">
        <f t="shared" si="12"/>
        <v>48.08076</v>
      </c>
      <c r="Y92" s="10">
        <f t="shared" si="13"/>
        <v>46.84</v>
      </c>
      <c r="Z92" s="51">
        <f t="shared" si="14"/>
        <v>1645.076016</v>
      </c>
      <c r="AA92" s="52"/>
      <c r="AB92" s="15">
        <f t="shared" si="15"/>
        <v>4531.076016</v>
      </c>
      <c r="AC92" s="18"/>
    </row>
    <row r="93" ht="18.75" customHeight="1">
      <c r="A93" s="44" t="s">
        <v>289</v>
      </c>
      <c r="B93" s="54" t="s">
        <v>323</v>
      </c>
      <c r="C93" s="53" t="s">
        <v>277</v>
      </c>
      <c r="D93" s="46"/>
      <c r="E93" s="47" t="s">
        <v>338</v>
      </c>
      <c r="F93" s="48"/>
      <c r="G93" s="49">
        <v>0.0</v>
      </c>
      <c r="H93" s="12"/>
      <c r="I93" s="12"/>
      <c r="J93" s="12"/>
      <c r="K93" s="12"/>
      <c r="L93" s="12"/>
      <c r="M93" s="50">
        <f t="shared" si="16"/>
        <v>0</v>
      </c>
      <c r="N93" s="10">
        <f t="shared" si="2"/>
        <v>0</v>
      </c>
      <c r="O93" s="10">
        <f t="shared" si="3"/>
        <v>0</v>
      </c>
      <c r="P93" s="10">
        <f t="shared" si="4"/>
        <v>0</v>
      </c>
      <c r="Q93" s="10">
        <f t="shared" si="5"/>
        <v>0</v>
      </c>
      <c r="R93" s="10">
        <f t="shared" si="6"/>
        <v>0</v>
      </c>
      <c r="S93" s="10">
        <f t="shared" si="7"/>
        <v>0</v>
      </c>
      <c r="T93" s="10">
        <f t="shared" si="8"/>
        <v>0</v>
      </c>
      <c r="U93" s="10">
        <f t="shared" si="9"/>
        <v>0</v>
      </c>
      <c r="V93" s="10">
        <f t="shared" si="10"/>
        <v>0</v>
      </c>
      <c r="W93" s="10">
        <f t="shared" si="11"/>
        <v>0</v>
      </c>
      <c r="X93" s="10">
        <f t="shared" si="12"/>
        <v>0</v>
      </c>
      <c r="Y93" s="10">
        <f t="shared" si="13"/>
        <v>0</v>
      </c>
      <c r="Z93" s="51">
        <f t="shared" si="14"/>
        <v>0</v>
      </c>
      <c r="AA93" s="52"/>
      <c r="AB93" s="15">
        <f t="shared" si="15"/>
        <v>0</v>
      </c>
      <c r="AC93" s="18"/>
    </row>
    <row r="94" ht="18.75" customHeight="1">
      <c r="A94" s="54" t="s">
        <v>289</v>
      </c>
      <c r="B94" s="54" t="s">
        <v>323</v>
      </c>
      <c r="C94" s="45" t="s">
        <v>350</v>
      </c>
      <c r="D94" s="46" t="s">
        <v>167</v>
      </c>
      <c r="E94" s="47" t="s">
        <v>336</v>
      </c>
      <c r="F94" s="48">
        <v>44513.0</v>
      </c>
      <c r="G94" s="49">
        <v>2282.0</v>
      </c>
      <c r="H94" s="12"/>
      <c r="I94" s="12"/>
      <c r="J94" s="12"/>
      <c r="K94" s="12"/>
      <c r="L94" s="12"/>
      <c r="M94" s="50">
        <f t="shared" si="16"/>
        <v>2282</v>
      </c>
      <c r="N94" s="10">
        <f t="shared" si="2"/>
        <v>456.4</v>
      </c>
      <c r="O94" s="10">
        <f t="shared" si="3"/>
        <v>22.82</v>
      </c>
      <c r="P94" s="10">
        <f t="shared" si="4"/>
        <v>34.23</v>
      </c>
      <c r="Q94" s="10">
        <f t="shared" si="5"/>
        <v>182.56</v>
      </c>
      <c r="R94" s="10">
        <f t="shared" si="6"/>
        <v>190.0906</v>
      </c>
      <c r="S94" s="10">
        <f t="shared" si="7"/>
        <v>63.36353333</v>
      </c>
      <c r="T94" s="10">
        <f t="shared" si="8"/>
        <v>20.27633067</v>
      </c>
      <c r="U94" s="10">
        <f t="shared" si="9"/>
        <v>50.69082667</v>
      </c>
      <c r="V94" s="10">
        <f t="shared" si="10"/>
        <v>190.0906</v>
      </c>
      <c r="W94" s="10">
        <f t="shared" si="11"/>
        <v>15.207248</v>
      </c>
      <c r="X94" s="10">
        <f t="shared" si="12"/>
        <v>38.01812</v>
      </c>
      <c r="Y94" s="10">
        <f t="shared" si="13"/>
        <v>83.08</v>
      </c>
      <c r="Z94" s="51">
        <f t="shared" si="14"/>
        <v>1346.827259</v>
      </c>
      <c r="AA94" s="52"/>
      <c r="AB94" s="15">
        <f t="shared" si="15"/>
        <v>3628.827259</v>
      </c>
      <c r="AC94" s="18"/>
    </row>
    <row r="95" ht="18.75" customHeight="1">
      <c r="A95" s="54" t="s">
        <v>289</v>
      </c>
      <c r="B95" s="54" t="s">
        <v>323</v>
      </c>
      <c r="C95" s="45" t="s">
        <v>351</v>
      </c>
      <c r="D95" s="46" t="s">
        <v>352</v>
      </c>
      <c r="E95" s="47" t="s">
        <v>260</v>
      </c>
      <c r="F95" s="48">
        <v>45915.0</v>
      </c>
      <c r="G95" s="49">
        <v>966.43</v>
      </c>
      <c r="H95" s="12"/>
      <c r="I95" s="12"/>
      <c r="J95" s="12"/>
      <c r="K95" s="12"/>
      <c r="L95" s="12"/>
      <c r="M95" s="50">
        <f t="shared" si="16"/>
        <v>966.43</v>
      </c>
      <c r="N95" s="10">
        <f t="shared" si="2"/>
        <v>193.286</v>
      </c>
      <c r="O95" s="10">
        <f t="shared" si="3"/>
        <v>9.6643</v>
      </c>
      <c r="P95" s="10">
        <f t="shared" si="4"/>
        <v>14.49645</v>
      </c>
      <c r="Q95" s="10">
        <f t="shared" si="5"/>
        <v>77.3144</v>
      </c>
      <c r="R95" s="10">
        <f t="shared" si="6"/>
        <v>80.503619</v>
      </c>
      <c r="S95" s="10">
        <f t="shared" si="7"/>
        <v>26.83453967</v>
      </c>
      <c r="T95" s="10">
        <f t="shared" si="8"/>
        <v>8.587052693</v>
      </c>
      <c r="U95" s="10">
        <f t="shared" si="9"/>
        <v>21.46763173</v>
      </c>
      <c r="V95" s="10">
        <f t="shared" si="10"/>
        <v>80.503619</v>
      </c>
      <c r="W95" s="10">
        <f t="shared" si="11"/>
        <v>6.44028952</v>
      </c>
      <c r="X95" s="10">
        <f t="shared" si="12"/>
        <v>16.1007238</v>
      </c>
      <c r="Y95" s="10">
        <f t="shared" si="13"/>
        <v>162.0142</v>
      </c>
      <c r="Z95" s="51">
        <f t="shared" si="14"/>
        <v>697.2128254</v>
      </c>
      <c r="AA95" s="52"/>
      <c r="AB95" s="15">
        <f t="shared" si="15"/>
        <v>1663.642825</v>
      </c>
      <c r="AC95" s="18"/>
    </row>
    <row r="96" ht="18.75" customHeight="1">
      <c r="A96" s="44" t="s">
        <v>289</v>
      </c>
      <c r="B96" s="44" t="s">
        <v>353</v>
      </c>
      <c r="C96" s="45" t="s">
        <v>329</v>
      </c>
      <c r="D96" s="46" t="s">
        <v>183</v>
      </c>
      <c r="E96" s="47" t="s">
        <v>354</v>
      </c>
      <c r="F96" s="48">
        <v>45451.0</v>
      </c>
      <c r="G96" s="49">
        <v>2905.0</v>
      </c>
      <c r="H96" s="12">
        <f>G96*40%</f>
        <v>1162</v>
      </c>
      <c r="I96" s="12"/>
      <c r="J96" s="12"/>
      <c r="K96" s="12"/>
      <c r="L96" s="12"/>
      <c r="M96" s="50">
        <f t="shared" si="16"/>
        <v>4067</v>
      </c>
      <c r="N96" s="10">
        <f t="shared" si="2"/>
        <v>813.4</v>
      </c>
      <c r="O96" s="10">
        <f t="shared" si="3"/>
        <v>29.05</v>
      </c>
      <c r="P96" s="10">
        <f t="shared" si="4"/>
        <v>43.575</v>
      </c>
      <c r="Q96" s="10">
        <f t="shared" si="5"/>
        <v>325.36</v>
      </c>
      <c r="R96" s="10">
        <f t="shared" si="6"/>
        <v>241.9865</v>
      </c>
      <c r="S96" s="10">
        <f t="shared" si="7"/>
        <v>80.66216667</v>
      </c>
      <c r="T96" s="10">
        <f t="shared" si="8"/>
        <v>25.81189333</v>
      </c>
      <c r="U96" s="10">
        <f t="shared" si="9"/>
        <v>64.52973333</v>
      </c>
      <c r="V96" s="10">
        <f t="shared" si="10"/>
        <v>241.9865</v>
      </c>
      <c r="W96" s="10">
        <f t="shared" si="11"/>
        <v>19.35892</v>
      </c>
      <c r="X96" s="10">
        <f t="shared" si="12"/>
        <v>48.3973</v>
      </c>
      <c r="Y96" s="10">
        <f t="shared" si="13"/>
        <v>45.7</v>
      </c>
      <c r="Z96" s="51">
        <f t="shared" si="14"/>
        <v>1979.818013</v>
      </c>
      <c r="AA96" s="57">
        <v>2029.43</v>
      </c>
      <c r="AB96" s="15">
        <f t="shared" si="15"/>
        <v>8076.248013</v>
      </c>
      <c r="AC96" s="18"/>
    </row>
    <row r="97" ht="18.75" customHeight="1">
      <c r="A97" s="44" t="s">
        <v>289</v>
      </c>
      <c r="B97" s="44" t="s">
        <v>353</v>
      </c>
      <c r="C97" s="45" t="s">
        <v>324</v>
      </c>
      <c r="D97" s="46" t="s">
        <v>184</v>
      </c>
      <c r="E97" s="47" t="s">
        <v>328</v>
      </c>
      <c r="F97" s="48">
        <v>45775.0</v>
      </c>
      <c r="G97" s="49">
        <v>3168.0</v>
      </c>
      <c r="H97" s="12"/>
      <c r="I97" s="12"/>
      <c r="J97" s="12"/>
      <c r="K97" s="12"/>
      <c r="L97" s="12"/>
      <c r="M97" s="50">
        <f t="shared" si="16"/>
        <v>3168</v>
      </c>
      <c r="N97" s="10">
        <f t="shared" si="2"/>
        <v>633.6</v>
      </c>
      <c r="O97" s="10">
        <f t="shared" si="3"/>
        <v>31.68</v>
      </c>
      <c r="P97" s="10">
        <f t="shared" si="4"/>
        <v>47.52</v>
      </c>
      <c r="Q97" s="10">
        <f t="shared" si="5"/>
        <v>253.44</v>
      </c>
      <c r="R97" s="10">
        <f t="shared" si="6"/>
        <v>263.8944</v>
      </c>
      <c r="S97" s="10">
        <f t="shared" si="7"/>
        <v>87.9648</v>
      </c>
      <c r="T97" s="10">
        <f t="shared" si="8"/>
        <v>28.148736</v>
      </c>
      <c r="U97" s="10">
        <f t="shared" si="9"/>
        <v>70.37184</v>
      </c>
      <c r="V97" s="10">
        <f t="shared" si="10"/>
        <v>263.8944</v>
      </c>
      <c r="W97" s="10">
        <f t="shared" si="11"/>
        <v>21.111552</v>
      </c>
      <c r="X97" s="10">
        <f t="shared" si="12"/>
        <v>52.77888</v>
      </c>
      <c r="Y97" s="10">
        <f t="shared" si="13"/>
        <v>29.92</v>
      </c>
      <c r="Z97" s="51">
        <f t="shared" si="14"/>
        <v>1784.324608</v>
      </c>
      <c r="AA97" s="52"/>
      <c r="AB97" s="15">
        <f t="shared" si="15"/>
        <v>4952.324608</v>
      </c>
      <c r="AC97" s="18"/>
    </row>
    <row r="98" ht="18.75" customHeight="1">
      <c r="A98" s="44" t="s">
        <v>289</v>
      </c>
      <c r="B98" s="44" t="s">
        <v>353</v>
      </c>
      <c r="C98" s="45" t="s">
        <v>329</v>
      </c>
      <c r="D98" s="46" t="s">
        <v>189</v>
      </c>
      <c r="E98" s="47" t="s">
        <v>336</v>
      </c>
      <c r="F98" s="48">
        <v>45223.0</v>
      </c>
      <c r="G98" s="49">
        <v>2282.0</v>
      </c>
      <c r="H98" s="12"/>
      <c r="I98" s="12"/>
      <c r="J98" s="12"/>
      <c r="K98" s="12"/>
      <c r="L98" s="12"/>
      <c r="M98" s="50">
        <f t="shared" si="16"/>
        <v>2282</v>
      </c>
      <c r="N98" s="10">
        <f t="shared" si="2"/>
        <v>456.4</v>
      </c>
      <c r="O98" s="10">
        <f t="shared" si="3"/>
        <v>22.82</v>
      </c>
      <c r="P98" s="10">
        <f t="shared" si="4"/>
        <v>34.23</v>
      </c>
      <c r="Q98" s="10">
        <f t="shared" si="5"/>
        <v>182.56</v>
      </c>
      <c r="R98" s="10">
        <f t="shared" si="6"/>
        <v>190.0906</v>
      </c>
      <c r="S98" s="10">
        <f t="shared" si="7"/>
        <v>63.36353333</v>
      </c>
      <c r="T98" s="10">
        <f t="shared" si="8"/>
        <v>20.27633067</v>
      </c>
      <c r="U98" s="10">
        <f t="shared" si="9"/>
        <v>50.69082667</v>
      </c>
      <c r="V98" s="10">
        <f t="shared" si="10"/>
        <v>190.0906</v>
      </c>
      <c r="W98" s="10">
        <f t="shared" si="11"/>
        <v>15.207248</v>
      </c>
      <c r="X98" s="10">
        <f t="shared" si="12"/>
        <v>38.01812</v>
      </c>
      <c r="Y98" s="10">
        <f t="shared" si="13"/>
        <v>83.08</v>
      </c>
      <c r="Z98" s="51">
        <f t="shared" si="14"/>
        <v>1346.827259</v>
      </c>
      <c r="AA98" s="52"/>
      <c r="AB98" s="15">
        <f t="shared" si="15"/>
        <v>3628.827259</v>
      </c>
      <c r="AC98" s="18"/>
    </row>
    <row r="99" ht="18.75" customHeight="1">
      <c r="A99" s="44" t="s">
        <v>289</v>
      </c>
      <c r="B99" s="44" t="s">
        <v>353</v>
      </c>
      <c r="C99" s="58" t="s">
        <v>281</v>
      </c>
      <c r="D99" s="46"/>
      <c r="E99" s="47" t="s">
        <v>336</v>
      </c>
      <c r="F99" s="48"/>
      <c r="G99" s="49">
        <v>0.0</v>
      </c>
      <c r="H99" s="12"/>
      <c r="I99" s="12"/>
      <c r="J99" s="12"/>
      <c r="K99" s="12"/>
      <c r="L99" s="12"/>
      <c r="M99" s="50">
        <f t="shared" si="16"/>
        <v>0</v>
      </c>
      <c r="N99" s="10">
        <f t="shared" si="2"/>
        <v>0</v>
      </c>
      <c r="O99" s="10">
        <f t="shared" si="3"/>
        <v>0</v>
      </c>
      <c r="P99" s="10">
        <f t="shared" si="4"/>
        <v>0</v>
      </c>
      <c r="Q99" s="10">
        <f t="shared" si="5"/>
        <v>0</v>
      </c>
      <c r="R99" s="10">
        <f t="shared" si="6"/>
        <v>0</v>
      </c>
      <c r="S99" s="10">
        <f t="shared" si="7"/>
        <v>0</v>
      </c>
      <c r="T99" s="10">
        <f t="shared" si="8"/>
        <v>0</v>
      </c>
      <c r="U99" s="10">
        <f t="shared" si="9"/>
        <v>0</v>
      </c>
      <c r="V99" s="10">
        <f t="shared" si="10"/>
        <v>0</v>
      </c>
      <c r="W99" s="10">
        <f t="shared" si="11"/>
        <v>0</v>
      </c>
      <c r="X99" s="10">
        <f t="shared" si="12"/>
        <v>0</v>
      </c>
      <c r="Y99" s="10">
        <f t="shared" si="13"/>
        <v>0</v>
      </c>
      <c r="Z99" s="51">
        <f t="shared" si="14"/>
        <v>0</v>
      </c>
      <c r="AA99" s="52"/>
      <c r="AB99" s="15">
        <f t="shared" si="15"/>
        <v>0</v>
      </c>
      <c r="AC99" s="18"/>
    </row>
    <row r="100" ht="18.75" customHeight="1">
      <c r="A100" s="44" t="s">
        <v>289</v>
      </c>
      <c r="B100" s="44" t="s">
        <v>353</v>
      </c>
      <c r="C100" s="45" t="s">
        <v>329</v>
      </c>
      <c r="D100" s="46" t="s">
        <v>188</v>
      </c>
      <c r="E100" s="47" t="s">
        <v>355</v>
      </c>
      <c r="F100" s="48">
        <v>44828.0</v>
      </c>
      <c r="G100" s="49">
        <v>2400.0</v>
      </c>
      <c r="H100" s="12"/>
      <c r="I100" s="12"/>
      <c r="J100" s="12"/>
      <c r="K100" s="12"/>
      <c r="L100" s="12"/>
      <c r="M100" s="50">
        <f t="shared" si="16"/>
        <v>2400</v>
      </c>
      <c r="N100" s="10">
        <f t="shared" si="2"/>
        <v>480</v>
      </c>
      <c r="O100" s="10">
        <f t="shared" si="3"/>
        <v>24</v>
      </c>
      <c r="P100" s="10">
        <f t="shared" si="4"/>
        <v>36</v>
      </c>
      <c r="Q100" s="10">
        <f t="shared" si="5"/>
        <v>192</v>
      </c>
      <c r="R100" s="10">
        <f t="shared" si="6"/>
        <v>199.92</v>
      </c>
      <c r="S100" s="10">
        <f t="shared" si="7"/>
        <v>66.64</v>
      </c>
      <c r="T100" s="10">
        <f t="shared" si="8"/>
        <v>21.3248</v>
      </c>
      <c r="U100" s="10">
        <f t="shared" si="9"/>
        <v>53.312</v>
      </c>
      <c r="V100" s="10">
        <f t="shared" si="10"/>
        <v>199.92</v>
      </c>
      <c r="W100" s="10">
        <f t="shared" si="11"/>
        <v>15.9936</v>
      </c>
      <c r="X100" s="10">
        <f t="shared" si="12"/>
        <v>39.984</v>
      </c>
      <c r="Y100" s="10">
        <f t="shared" si="13"/>
        <v>76</v>
      </c>
      <c r="Z100" s="51">
        <f t="shared" si="14"/>
        <v>1405.0944</v>
      </c>
      <c r="AA100" s="52"/>
      <c r="AB100" s="15">
        <f t="shared" si="15"/>
        <v>3805.0944</v>
      </c>
      <c r="AC100" s="18"/>
    </row>
    <row r="101" ht="18.75" customHeight="1">
      <c r="A101" s="44" t="s">
        <v>289</v>
      </c>
      <c r="B101" s="44" t="s">
        <v>353</v>
      </c>
      <c r="C101" s="45" t="s">
        <v>356</v>
      </c>
      <c r="D101" s="46" t="s">
        <v>190</v>
      </c>
      <c r="E101" s="47" t="s">
        <v>336</v>
      </c>
      <c r="F101" s="48">
        <v>45234.0</v>
      </c>
      <c r="G101" s="49">
        <v>2282.0</v>
      </c>
      <c r="H101" s="12"/>
      <c r="I101" s="12"/>
      <c r="J101" s="12"/>
      <c r="K101" s="12"/>
      <c r="L101" s="12"/>
      <c r="M101" s="50">
        <f t="shared" si="16"/>
        <v>2282</v>
      </c>
      <c r="N101" s="10">
        <f t="shared" si="2"/>
        <v>456.4</v>
      </c>
      <c r="O101" s="10">
        <f t="shared" si="3"/>
        <v>22.82</v>
      </c>
      <c r="P101" s="10">
        <f t="shared" si="4"/>
        <v>34.23</v>
      </c>
      <c r="Q101" s="10">
        <f t="shared" si="5"/>
        <v>182.56</v>
      </c>
      <c r="R101" s="10">
        <f t="shared" si="6"/>
        <v>190.0906</v>
      </c>
      <c r="S101" s="10">
        <f t="shared" si="7"/>
        <v>63.36353333</v>
      </c>
      <c r="T101" s="10">
        <f t="shared" si="8"/>
        <v>20.27633067</v>
      </c>
      <c r="U101" s="10">
        <f t="shared" si="9"/>
        <v>50.69082667</v>
      </c>
      <c r="V101" s="10">
        <f t="shared" si="10"/>
        <v>190.0906</v>
      </c>
      <c r="W101" s="10">
        <f t="shared" si="11"/>
        <v>15.207248</v>
      </c>
      <c r="X101" s="10">
        <f t="shared" si="12"/>
        <v>38.01812</v>
      </c>
      <c r="Y101" s="10">
        <f t="shared" si="13"/>
        <v>83.08</v>
      </c>
      <c r="Z101" s="51">
        <f t="shared" si="14"/>
        <v>1346.827259</v>
      </c>
      <c r="AA101" s="52"/>
      <c r="AB101" s="15">
        <f t="shared" si="15"/>
        <v>3628.827259</v>
      </c>
      <c r="AC101" s="18"/>
    </row>
    <row r="102" ht="18.75" customHeight="1">
      <c r="A102" s="44" t="s">
        <v>289</v>
      </c>
      <c r="B102" s="44" t="s">
        <v>353</v>
      </c>
      <c r="C102" s="45" t="s">
        <v>356</v>
      </c>
      <c r="D102" s="46" t="s">
        <v>357</v>
      </c>
      <c r="E102" s="47" t="s">
        <v>193</v>
      </c>
      <c r="F102" s="48">
        <v>45302.0</v>
      </c>
      <c r="G102" s="49">
        <v>2190.0</v>
      </c>
      <c r="H102" s="12"/>
      <c r="I102" s="12"/>
      <c r="J102" s="12"/>
      <c r="K102" s="12"/>
      <c r="L102" s="12"/>
      <c r="M102" s="50" t="str">
        <f>#REF!+SUM(H102:L102)</f>
        <v>#REF!</v>
      </c>
      <c r="N102" s="10" t="str">
        <f t="shared" si="2"/>
        <v>#REF!</v>
      </c>
      <c r="O102" s="10" t="str">
        <f> #REF! * 1%</f>
        <v>#REF!</v>
      </c>
      <c r="P102" s="10" t="str">
        <f>#REF!*1.5%</f>
        <v>#REF!</v>
      </c>
      <c r="Q102" s="10" t="str">
        <f t="shared" si="5"/>
        <v>#REF!</v>
      </c>
      <c r="R102" s="10" t="str">
        <f>#REF!*8.33%</f>
        <v>#REF!</v>
      </c>
      <c r="S102" s="10" t="str">
        <f t="shared" si="7"/>
        <v>#REF!</v>
      </c>
      <c r="T102" s="10" t="str">
        <f t="shared" si="8"/>
        <v>#REF!</v>
      </c>
      <c r="U102" s="10" t="str">
        <f t="shared" si="9"/>
        <v>#REF!</v>
      </c>
      <c r="V102" s="10" t="str">
        <f> #REF!*8.33%</f>
        <v>#REF!</v>
      </c>
      <c r="W102" s="10" t="str">
        <f t="shared" si="11"/>
        <v>#REF!</v>
      </c>
      <c r="X102" s="10" t="str">
        <f t="shared" si="12"/>
        <v>#REF!</v>
      </c>
      <c r="Y102" s="10" t="str">
        <f>IF(#REF!=0, 0, 220 - (#REF! * 6%))</f>
        <v>#REF!</v>
      </c>
      <c r="Z102" s="51" t="str">
        <f t="shared" si="14"/>
        <v>#REF!</v>
      </c>
      <c r="AA102" s="52"/>
      <c r="AB102" s="15" t="str">
        <f t="shared" si="15"/>
        <v>#REF!</v>
      </c>
      <c r="AC102" s="18"/>
    </row>
    <row r="103" ht="18.75" customHeight="1">
      <c r="A103" s="44" t="s">
        <v>289</v>
      </c>
      <c r="B103" s="44" t="s">
        <v>353</v>
      </c>
      <c r="C103" s="45" t="s">
        <v>356</v>
      </c>
      <c r="D103" s="46" t="s">
        <v>358</v>
      </c>
      <c r="E103" s="47" t="s">
        <v>193</v>
      </c>
      <c r="F103" s="48">
        <v>46010.0</v>
      </c>
      <c r="G103" s="49">
        <v>2190.0</v>
      </c>
      <c r="H103" s="12"/>
      <c r="I103" s="12"/>
      <c r="J103" s="12"/>
      <c r="K103" s="12"/>
      <c r="L103" s="12"/>
      <c r="M103" s="50">
        <f t="shared" ref="M103:M108" si="18">G103+SUM(H103:L103)</f>
        <v>2190</v>
      </c>
      <c r="N103" s="10">
        <f t="shared" si="2"/>
        <v>438</v>
      </c>
      <c r="O103" s="10">
        <f t="shared" ref="O103:O108" si="19"> G103 * 1%</f>
        <v>21.9</v>
      </c>
      <c r="P103" s="10">
        <f t="shared" ref="P103:P108" si="20">G103*1.5%</f>
        <v>32.85</v>
      </c>
      <c r="Q103" s="10">
        <f t="shared" si="5"/>
        <v>175.2</v>
      </c>
      <c r="R103" s="10">
        <f t="shared" ref="R103:R108" si="21">G103*8.33%</f>
        <v>182.427</v>
      </c>
      <c r="S103" s="10">
        <f t="shared" si="7"/>
        <v>60.809</v>
      </c>
      <c r="T103" s="10">
        <f t="shared" si="8"/>
        <v>19.45888</v>
      </c>
      <c r="U103" s="10">
        <f t="shared" si="9"/>
        <v>48.6472</v>
      </c>
      <c r="V103" s="10">
        <f t="shared" ref="V103:V108" si="22"> G103*8.33%</f>
        <v>182.427</v>
      </c>
      <c r="W103" s="10">
        <f t="shared" si="11"/>
        <v>14.59416</v>
      </c>
      <c r="X103" s="10">
        <f t="shared" si="12"/>
        <v>36.4854</v>
      </c>
      <c r="Y103" s="10">
        <f t="shared" ref="Y103:Y108" si="23">IF(G103=0, 0, 220 - (G103 * 6%))</f>
        <v>88.6</v>
      </c>
      <c r="Z103" s="51">
        <f t="shared" si="14"/>
        <v>1301.39864</v>
      </c>
      <c r="AA103" s="52"/>
      <c r="AB103" s="15">
        <f t="shared" si="15"/>
        <v>3491.39864</v>
      </c>
      <c r="AC103" s="18"/>
    </row>
    <row r="104" ht="18.75" customHeight="1">
      <c r="A104" s="44" t="s">
        <v>289</v>
      </c>
      <c r="B104" s="44" t="s">
        <v>353</v>
      </c>
      <c r="C104" s="45" t="s">
        <v>356</v>
      </c>
      <c r="D104" s="46" t="s">
        <v>186</v>
      </c>
      <c r="E104" s="47" t="s">
        <v>359</v>
      </c>
      <c r="F104" s="48">
        <v>44676.0</v>
      </c>
      <c r="G104" s="49">
        <v>2760.0</v>
      </c>
      <c r="H104" s="12"/>
      <c r="I104" s="12"/>
      <c r="J104" s="12"/>
      <c r="K104" s="12"/>
      <c r="L104" s="12"/>
      <c r="M104" s="50">
        <f t="shared" si="18"/>
        <v>2760</v>
      </c>
      <c r="N104" s="10">
        <f t="shared" si="2"/>
        <v>552</v>
      </c>
      <c r="O104" s="10">
        <f t="shared" si="19"/>
        <v>27.6</v>
      </c>
      <c r="P104" s="10">
        <f t="shared" si="20"/>
        <v>41.4</v>
      </c>
      <c r="Q104" s="10">
        <f t="shared" si="5"/>
        <v>220.8</v>
      </c>
      <c r="R104" s="10">
        <f t="shared" si="21"/>
        <v>229.908</v>
      </c>
      <c r="S104" s="10">
        <f t="shared" si="7"/>
        <v>76.636</v>
      </c>
      <c r="T104" s="10">
        <f t="shared" si="8"/>
        <v>24.52352</v>
      </c>
      <c r="U104" s="10">
        <f t="shared" si="9"/>
        <v>61.3088</v>
      </c>
      <c r="V104" s="10">
        <f t="shared" si="22"/>
        <v>229.908</v>
      </c>
      <c r="W104" s="10">
        <f t="shared" si="11"/>
        <v>18.39264</v>
      </c>
      <c r="X104" s="10">
        <f t="shared" si="12"/>
        <v>45.9816</v>
      </c>
      <c r="Y104" s="10">
        <f t="shared" si="23"/>
        <v>54.4</v>
      </c>
      <c r="Z104" s="51">
        <f t="shared" si="14"/>
        <v>1582.85856</v>
      </c>
      <c r="AA104" s="52"/>
      <c r="AB104" s="15">
        <f t="shared" si="15"/>
        <v>4342.85856</v>
      </c>
      <c r="AC104" s="18"/>
    </row>
    <row r="105" ht="18.75" customHeight="1">
      <c r="A105" s="44" t="s">
        <v>289</v>
      </c>
      <c r="B105" s="44" t="s">
        <v>353</v>
      </c>
      <c r="C105" s="45" t="s">
        <v>356</v>
      </c>
      <c r="D105" s="46" t="s">
        <v>360</v>
      </c>
      <c r="E105" s="47" t="s">
        <v>361</v>
      </c>
      <c r="F105" s="48">
        <v>46003.0</v>
      </c>
      <c r="G105" s="49">
        <v>2427.0</v>
      </c>
      <c r="H105" s="12"/>
      <c r="I105" s="12"/>
      <c r="J105" s="12"/>
      <c r="K105" s="12"/>
      <c r="L105" s="12"/>
      <c r="M105" s="50">
        <f t="shared" si="18"/>
        <v>2427</v>
      </c>
      <c r="N105" s="10">
        <f t="shared" si="2"/>
        <v>485.4</v>
      </c>
      <c r="O105" s="10">
        <f t="shared" si="19"/>
        <v>24.27</v>
      </c>
      <c r="P105" s="10">
        <f t="shared" si="20"/>
        <v>36.405</v>
      </c>
      <c r="Q105" s="10">
        <f t="shared" si="5"/>
        <v>194.16</v>
      </c>
      <c r="R105" s="10">
        <f t="shared" si="21"/>
        <v>202.1691</v>
      </c>
      <c r="S105" s="10">
        <f t="shared" si="7"/>
        <v>67.3897</v>
      </c>
      <c r="T105" s="10">
        <f t="shared" si="8"/>
        <v>21.564704</v>
      </c>
      <c r="U105" s="10">
        <f t="shared" si="9"/>
        <v>53.91176</v>
      </c>
      <c r="V105" s="10">
        <f t="shared" si="22"/>
        <v>202.1691</v>
      </c>
      <c r="W105" s="10">
        <f t="shared" si="11"/>
        <v>16.173528</v>
      </c>
      <c r="X105" s="10">
        <f t="shared" si="12"/>
        <v>40.43382</v>
      </c>
      <c r="Y105" s="10">
        <f t="shared" si="23"/>
        <v>74.38</v>
      </c>
      <c r="Z105" s="51">
        <f t="shared" si="14"/>
        <v>1418.426712</v>
      </c>
      <c r="AA105" s="52"/>
      <c r="AB105" s="15">
        <f t="shared" si="15"/>
        <v>3845.426712</v>
      </c>
      <c r="AC105" s="18"/>
    </row>
    <row r="106" ht="18.75" customHeight="1">
      <c r="A106" s="44" t="s">
        <v>289</v>
      </c>
      <c r="B106" s="44" t="s">
        <v>353</v>
      </c>
      <c r="C106" s="45" t="s">
        <v>324</v>
      </c>
      <c r="D106" s="46" t="s">
        <v>362</v>
      </c>
      <c r="E106" s="47" t="s">
        <v>193</v>
      </c>
      <c r="F106" s="48">
        <v>45737.0</v>
      </c>
      <c r="G106" s="49">
        <v>2190.0</v>
      </c>
      <c r="H106" s="12"/>
      <c r="I106" s="12"/>
      <c r="J106" s="12"/>
      <c r="K106" s="12"/>
      <c r="L106" s="12"/>
      <c r="M106" s="50">
        <f t="shared" si="18"/>
        <v>2190</v>
      </c>
      <c r="N106" s="10">
        <f t="shared" si="2"/>
        <v>438</v>
      </c>
      <c r="O106" s="10">
        <f t="shared" si="19"/>
        <v>21.9</v>
      </c>
      <c r="P106" s="10">
        <f t="shared" si="20"/>
        <v>32.85</v>
      </c>
      <c r="Q106" s="10">
        <f t="shared" si="5"/>
        <v>175.2</v>
      </c>
      <c r="R106" s="10">
        <f t="shared" si="21"/>
        <v>182.427</v>
      </c>
      <c r="S106" s="10">
        <f t="shared" si="7"/>
        <v>60.809</v>
      </c>
      <c r="T106" s="10">
        <f t="shared" si="8"/>
        <v>19.45888</v>
      </c>
      <c r="U106" s="10">
        <f t="shared" si="9"/>
        <v>48.6472</v>
      </c>
      <c r="V106" s="10">
        <f t="shared" si="22"/>
        <v>182.427</v>
      </c>
      <c r="W106" s="10">
        <f t="shared" si="11"/>
        <v>14.59416</v>
      </c>
      <c r="X106" s="10">
        <f t="shared" si="12"/>
        <v>36.4854</v>
      </c>
      <c r="Y106" s="10">
        <f t="shared" si="23"/>
        <v>88.6</v>
      </c>
      <c r="Z106" s="51">
        <f t="shared" si="14"/>
        <v>1301.39864</v>
      </c>
      <c r="AA106" s="52"/>
      <c r="AB106" s="15">
        <f t="shared" si="15"/>
        <v>3491.39864</v>
      </c>
      <c r="AC106" s="18"/>
    </row>
    <row r="107" ht="18.75" customHeight="1">
      <c r="A107" s="44" t="s">
        <v>289</v>
      </c>
      <c r="B107" s="44" t="s">
        <v>353</v>
      </c>
      <c r="C107" s="45" t="s">
        <v>324</v>
      </c>
      <c r="D107" s="46" t="s">
        <v>363</v>
      </c>
      <c r="E107" s="47" t="s">
        <v>336</v>
      </c>
      <c r="F107" s="48">
        <v>45996.0</v>
      </c>
      <c r="G107" s="49">
        <v>2282.0</v>
      </c>
      <c r="H107" s="12"/>
      <c r="I107" s="12"/>
      <c r="J107" s="12"/>
      <c r="K107" s="12"/>
      <c r="L107" s="12"/>
      <c r="M107" s="50">
        <f t="shared" si="18"/>
        <v>2282</v>
      </c>
      <c r="N107" s="10">
        <f t="shared" si="2"/>
        <v>456.4</v>
      </c>
      <c r="O107" s="10">
        <f t="shared" si="19"/>
        <v>22.82</v>
      </c>
      <c r="P107" s="10">
        <f t="shared" si="20"/>
        <v>34.23</v>
      </c>
      <c r="Q107" s="10">
        <f t="shared" si="5"/>
        <v>182.56</v>
      </c>
      <c r="R107" s="10">
        <f t="shared" si="21"/>
        <v>190.0906</v>
      </c>
      <c r="S107" s="10">
        <f t="shared" si="7"/>
        <v>63.36353333</v>
      </c>
      <c r="T107" s="10">
        <f t="shared" si="8"/>
        <v>20.27633067</v>
      </c>
      <c r="U107" s="10">
        <f t="shared" si="9"/>
        <v>50.69082667</v>
      </c>
      <c r="V107" s="10">
        <f t="shared" si="22"/>
        <v>190.0906</v>
      </c>
      <c r="W107" s="10">
        <f t="shared" si="11"/>
        <v>15.207248</v>
      </c>
      <c r="X107" s="10">
        <f t="shared" si="12"/>
        <v>38.01812</v>
      </c>
      <c r="Y107" s="10">
        <f t="shared" si="23"/>
        <v>83.08</v>
      </c>
      <c r="Z107" s="51">
        <f t="shared" si="14"/>
        <v>1346.827259</v>
      </c>
      <c r="AA107" s="52"/>
      <c r="AB107" s="15">
        <f t="shared" si="15"/>
        <v>3628.827259</v>
      </c>
      <c r="AC107" s="18"/>
    </row>
    <row r="108" ht="18.75" customHeight="1">
      <c r="A108" s="44" t="s">
        <v>289</v>
      </c>
      <c r="B108" s="44" t="s">
        <v>353</v>
      </c>
      <c r="C108" s="45" t="s">
        <v>324</v>
      </c>
      <c r="D108" s="46" t="s">
        <v>364</v>
      </c>
      <c r="E108" s="47" t="s">
        <v>193</v>
      </c>
      <c r="F108" s="48">
        <v>46014.0</v>
      </c>
      <c r="G108" s="49">
        <v>2190.0</v>
      </c>
      <c r="H108" s="12"/>
      <c r="I108" s="12"/>
      <c r="J108" s="12"/>
      <c r="K108" s="12"/>
      <c r="L108" s="12"/>
      <c r="M108" s="50">
        <f t="shared" si="18"/>
        <v>2190</v>
      </c>
      <c r="N108" s="10">
        <f t="shared" si="2"/>
        <v>438</v>
      </c>
      <c r="O108" s="10">
        <f t="shared" si="19"/>
        <v>21.9</v>
      </c>
      <c r="P108" s="10">
        <f t="shared" si="20"/>
        <v>32.85</v>
      </c>
      <c r="Q108" s="10">
        <f t="shared" si="5"/>
        <v>175.2</v>
      </c>
      <c r="R108" s="10">
        <f t="shared" si="21"/>
        <v>182.427</v>
      </c>
      <c r="S108" s="10">
        <f t="shared" si="7"/>
        <v>60.809</v>
      </c>
      <c r="T108" s="10">
        <f t="shared" si="8"/>
        <v>19.45888</v>
      </c>
      <c r="U108" s="10">
        <f t="shared" si="9"/>
        <v>48.6472</v>
      </c>
      <c r="V108" s="10">
        <f t="shared" si="22"/>
        <v>182.427</v>
      </c>
      <c r="W108" s="10">
        <f t="shared" si="11"/>
        <v>14.59416</v>
      </c>
      <c r="X108" s="10">
        <f t="shared" si="12"/>
        <v>36.4854</v>
      </c>
      <c r="Y108" s="10">
        <f t="shared" si="23"/>
        <v>88.6</v>
      </c>
      <c r="Z108" s="51">
        <f t="shared" si="14"/>
        <v>1301.39864</v>
      </c>
      <c r="AA108" s="52"/>
      <c r="AB108" s="15">
        <f t="shared" si="15"/>
        <v>3491.39864</v>
      </c>
      <c r="AC108" s="18"/>
    </row>
    <row r="109" ht="18.75" customHeight="1">
      <c r="A109" s="44" t="s">
        <v>289</v>
      </c>
      <c r="B109" s="44" t="s">
        <v>353</v>
      </c>
      <c r="C109" s="45" t="s">
        <v>324</v>
      </c>
      <c r="D109" s="46" t="s">
        <v>365</v>
      </c>
      <c r="E109" s="47" t="s">
        <v>193</v>
      </c>
      <c r="F109" s="48">
        <v>46043.0</v>
      </c>
      <c r="G109" s="49">
        <v>2190.0</v>
      </c>
      <c r="H109" s="12"/>
      <c r="I109" s="12"/>
      <c r="J109" s="12"/>
      <c r="K109" s="12"/>
      <c r="L109" s="12"/>
      <c r="M109" s="50">
        <f>G102+SUM(H109:L109)</f>
        <v>2190</v>
      </c>
      <c r="N109" s="10">
        <f t="shared" si="2"/>
        <v>438</v>
      </c>
      <c r="O109" s="10">
        <f> G102 * 1%</f>
        <v>21.9</v>
      </c>
      <c r="P109" s="10">
        <f>G102*1.5%</f>
        <v>32.85</v>
      </c>
      <c r="Q109" s="10">
        <f t="shared" si="5"/>
        <v>175.2</v>
      </c>
      <c r="R109" s="10">
        <f>G102*8.33%</f>
        <v>182.427</v>
      </c>
      <c r="S109" s="10">
        <f t="shared" si="7"/>
        <v>60.809</v>
      </c>
      <c r="T109" s="10">
        <f t="shared" si="8"/>
        <v>19.45888</v>
      </c>
      <c r="U109" s="10">
        <f t="shared" si="9"/>
        <v>48.6472</v>
      </c>
      <c r="V109" s="10">
        <f> G102*8.33%</f>
        <v>182.427</v>
      </c>
      <c r="W109" s="10">
        <f t="shared" si="11"/>
        <v>14.59416</v>
      </c>
      <c r="X109" s="10">
        <f t="shared" si="12"/>
        <v>36.4854</v>
      </c>
      <c r="Y109" s="10">
        <f>IF(G102=0, 0, 220 - (G102 * 6%))</f>
        <v>88.6</v>
      </c>
      <c r="Z109" s="51">
        <f t="shared" si="14"/>
        <v>1301.39864</v>
      </c>
      <c r="AA109" s="52"/>
      <c r="AB109" s="15">
        <f t="shared" si="15"/>
        <v>3491.39864</v>
      </c>
      <c r="AC109" s="18"/>
    </row>
    <row r="110" ht="18.75" customHeight="1">
      <c r="A110" s="44" t="s">
        <v>289</v>
      </c>
      <c r="B110" s="44" t="s">
        <v>353</v>
      </c>
      <c r="C110" s="45" t="s">
        <v>324</v>
      </c>
      <c r="D110" s="46" t="s">
        <v>366</v>
      </c>
      <c r="E110" s="47" t="s">
        <v>193</v>
      </c>
      <c r="F110" s="48">
        <v>46042.0</v>
      </c>
      <c r="G110" s="49">
        <v>2190.0</v>
      </c>
      <c r="H110" s="12"/>
      <c r="I110" s="12"/>
      <c r="J110" s="12"/>
      <c r="K110" s="12"/>
      <c r="L110" s="12"/>
      <c r="M110" s="50">
        <f t="shared" ref="M110:M185" si="24">G110+SUM(H110:L110)</f>
        <v>2190</v>
      </c>
      <c r="N110" s="10">
        <f t="shared" si="2"/>
        <v>438</v>
      </c>
      <c r="O110" s="10">
        <f t="shared" ref="O110:O185" si="25"> G110 * 1%</f>
        <v>21.9</v>
      </c>
      <c r="P110" s="10">
        <f t="shared" ref="P110:P185" si="26">G110*1.5%</f>
        <v>32.85</v>
      </c>
      <c r="Q110" s="10">
        <f t="shared" si="5"/>
        <v>175.2</v>
      </c>
      <c r="R110" s="10">
        <f t="shared" ref="R110:R185" si="27">G110*8.33%</f>
        <v>182.427</v>
      </c>
      <c r="S110" s="10">
        <f t="shared" si="7"/>
        <v>60.809</v>
      </c>
      <c r="T110" s="10">
        <f t="shared" si="8"/>
        <v>19.45888</v>
      </c>
      <c r="U110" s="10">
        <f t="shared" si="9"/>
        <v>48.6472</v>
      </c>
      <c r="V110" s="10">
        <f t="shared" ref="V110:V185" si="28"> G110*8.33%</f>
        <v>182.427</v>
      </c>
      <c r="W110" s="10">
        <f t="shared" si="11"/>
        <v>14.59416</v>
      </c>
      <c r="X110" s="10">
        <f t="shared" si="12"/>
        <v>36.4854</v>
      </c>
      <c r="Y110" s="10">
        <f t="shared" ref="Y110:Y185" si="29">IF(G110=0, 0, 220 - (G110 * 6%))</f>
        <v>88.6</v>
      </c>
      <c r="Z110" s="51">
        <f t="shared" si="14"/>
        <v>1301.39864</v>
      </c>
      <c r="AA110" s="52"/>
      <c r="AB110" s="15">
        <f t="shared" si="15"/>
        <v>3491.39864</v>
      </c>
      <c r="AC110" s="18"/>
    </row>
    <row r="111" ht="18.75" customHeight="1">
      <c r="A111" s="44" t="s">
        <v>289</v>
      </c>
      <c r="B111" s="44" t="s">
        <v>353</v>
      </c>
      <c r="C111" s="45" t="s">
        <v>324</v>
      </c>
      <c r="D111" s="46" t="s">
        <v>187</v>
      </c>
      <c r="E111" s="47" t="s">
        <v>355</v>
      </c>
      <c r="F111" s="48">
        <v>45610.0</v>
      </c>
      <c r="G111" s="49">
        <v>2400.0</v>
      </c>
      <c r="H111" s="12"/>
      <c r="I111" s="12"/>
      <c r="J111" s="12"/>
      <c r="K111" s="12"/>
      <c r="L111" s="12"/>
      <c r="M111" s="50">
        <f t="shared" si="24"/>
        <v>2400</v>
      </c>
      <c r="N111" s="10">
        <f t="shared" si="2"/>
        <v>480</v>
      </c>
      <c r="O111" s="10">
        <f t="shared" si="25"/>
        <v>24</v>
      </c>
      <c r="P111" s="10">
        <f t="shared" si="26"/>
        <v>36</v>
      </c>
      <c r="Q111" s="10">
        <f t="shared" si="5"/>
        <v>192</v>
      </c>
      <c r="R111" s="10">
        <f t="shared" si="27"/>
        <v>199.92</v>
      </c>
      <c r="S111" s="10">
        <f t="shared" si="7"/>
        <v>66.64</v>
      </c>
      <c r="T111" s="10">
        <f t="shared" si="8"/>
        <v>21.3248</v>
      </c>
      <c r="U111" s="10">
        <f t="shared" si="9"/>
        <v>53.312</v>
      </c>
      <c r="V111" s="10">
        <f t="shared" si="28"/>
        <v>199.92</v>
      </c>
      <c r="W111" s="10">
        <f t="shared" si="11"/>
        <v>15.9936</v>
      </c>
      <c r="X111" s="10">
        <f t="shared" si="12"/>
        <v>39.984</v>
      </c>
      <c r="Y111" s="10">
        <f t="shared" si="29"/>
        <v>76</v>
      </c>
      <c r="Z111" s="51">
        <f t="shared" si="14"/>
        <v>1405.0944</v>
      </c>
      <c r="AA111" s="52"/>
      <c r="AB111" s="15">
        <f t="shared" si="15"/>
        <v>3805.0944</v>
      </c>
      <c r="AC111" s="18"/>
    </row>
    <row r="112" ht="18.75" customHeight="1">
      <c r="A112" s="44" t="s">
        <v>289</v>
      </c>
      <c r="B112" s="44" t="s">
        <v>353</v>
      </c>
      <c r="C112" s="53" t="s">
        <v>277</v>
      </c>
      <c r="D112" s="46"/>
      <c r="E112" s="47" t="s">
        <v>355</v>
      </c>
      <c r="F112" s="48"/>
      <c r="G112" s="49">
        <v>0.0</v>
      </c>
      <c r="H112" s="12"/>
      <c r="I112" s="12"/>
      <c r="J112" s="12"/>
      <c r="K112" s="12"/>
      <c r="L112" s="12"/>
      <c r="M112" s="50">
        <f t="shared" si="24"/>
        <v>0</v>
      </c>
      <c r="N112" s="10">
        <f t="shared" si="2"/>
        <v>0</v>
      </c>
      <c r="O112" s="10">
        <f t="shared" si="25"/>
        <v>0</v>
      </c>
      <c r="P112" s="10">
        <f t="shared" si="26"/>
        <v>0</v>
      </c>
      <c r="Q112" s="10">
        <f t="shared" si="5"/>
        <v>0</v>
      </c>
      <c r="R112" s="10">
        <f t="shared" si="27"/>
        <v>0</v>
      </c>
      <c r="S112" s="10">
        <f t="shared" si="7"/>
        <v>0</v>
      </c>
      <c r="T112" s="10">
        <f t="shared" si="8"/>
        <v>0</v>
      </c>
      <c r="U112" s="10">
        <f t="shared" si="9"/>
        <v>0</v>
      </c>
      <c r="V112" s="10">
        <f t="shared" si="28"/>
        <v>0</v>
      </c>
      <c r="W112" s="10">
        <f t="shared" si="11"/>
        <v>0</v>
      </c>
      <c r="X112" s="10">
        <f t="shared" si="12"/>
        <v>0</v>
      </c>
      <c r="Y112" s="10">
        <f t="shared" si="29"/>
        <v>0</v>
      </c>
      <c r="Z112" s="51">
        <f t="shared" si="14"/>
        <v>0</v>
      </c>
      <c r="AA112" s="52"/>
      <c r="AB112" s="15">
        <f t="shared" si="15"/>
        <v>0</v>
      </c>
      <c r="AC112" s="18"/>
    </row>
    <row r="113" ht="18.75" customHeight="1">
      <c r="A113" s="44" t="s">
        <v>266</v>
      </c>
      <c r="B113" s="54" t="s">
        <v>266</v>
      </c>
      <c r="C113" s="45" t="s">
        <v>329</v>
      </c>
      <c r="D113" s="46" t="s">
        <v>48</v>
      </c>
      <c r="E113" s="47" t="s">
        <v>367</v>
      </c>
      <c r="F113" s="48">
        <v>43405.0</v>
      </c>
      <c r="G113" s="49">
        <v>3880.0</v>
      </c>
      <c r="H113" s="12">
        <f t="shared" ref="H113:H114" si="30">G113*40%</f>
        <v>1552</v>
      </c>
      <c r="I113" s="12"/>
      <c r="J113" s="12">
        <f>G113*10%</f>
        <v>388</v>
      </c>
      <c r="K113" s="12"/>
      <c r="L113" s="12">
        <f>G113*2%</f>
        <v>77.6</v>
      </c>
      <c r="M113" s="50">
        <f t="shared" si="24"/>
        <v>5897.6</v>
      </c>
      <c r="N113" s="10">
        <f t="shared" si="2"/>
        <v>1179.52</v>
      </c>
      <c r="O113" s="10">
        <f t="shared" si="25"/>
        <v>38.8</v>
      </c>
      <c r="P113" s="10">
        <f t="shared" si="26"/>
        <v>58.2</v>
      </c>
      <c r="Q113" s="10">
        <f t="shared" si="5"/>
        <v>471.808</v>
      </c>
      <c r="R113" s="10">
        <f t="shared" si="27"/>
        <v>323.204</v>
      </c>
      <c r="S113" s="10">
        <f t="shared" si="7"/>
        <v>107.7346667</v>
      </c>
      <c r="T113" s="10">
        <f t="shared" si="8"/>
        <v>34.47509333</v>
      </c>
      <c r="U113" s="10">
        <f t="shared" si="9"/>
        <v>86.18773333</v>
      </c>
      <c r="V113" s="10">
        <f t="shared" si="28"/>
        <v>323.204</v>
      </c>
      <c r="W113" s="10">
        <f t="shared" si="11"/>
        <v>25.85632</v>
      </c>
      <c r="X113" s="10">
        <f t="shared" si="12"/>
        <v>64.6408</v>
      </c>
      <c r="Y113" s="10">
        <f t="shared" si="29"/>
        <v>-12.8</v>
      </c>
      <c r="Z113" s="51">
        <f t="shared" si="14"/>
        <v>2700.830613</v>
      </c>
      <c r="AA113" s="57">
        <v>5146.56</v>
      </c>
      <c r="AB113" s="15">
        <f t="shared" si="15"/>
        <v>13744.99061</v>
      </c>
      <c r="AC113" s="18"/>
    </row>
    <row r="114" ht="18.75" customHeight="1">
      <c r="A114" s="54" t="s">
        <v>266</v>
      </c>
      <c r="B114" s="54" t="s">
        <v>49</v>
      </c>
      <c r="C114" s="45" t="s">
        <v>324</v>
      </c>
      <c r="D114" s="46" t="s">
        <v>368</v>
      </c>
      <c r="E114" s="47" t="s">
        <v>369</v>
      </c>
      <c r="F114" s="48">
        <v>45476.0</v>
      </c>
      <c r="G114" s="49">
        <v>2703.0</v>
      </c>
      <c r="H114" s="12">
        <f t="shared" si="30"/>
        <v>1081.2</v>
      </c>
      <c r="I114" s="12"/>
      <c r="J114" s="12">
        <f>G114*20%</f>
        <v>540.6</v>
      </c>
      <c r="K114" s="12"/>
      <c r="L114" s="12"/>
      <c r="M114" s="50">
        <f t="shared" si="24"/>
        <v>4324.8</v>
      </c>
      <c r="N114" s="10">
        <f t="shared" si="2"/>
        <v>864.96</v>
      </c>
      <c r="O114" s="10">
        <f t="shared" si="25"/>
        <v>27.03</v>
      </c>
      <c r="P114" s="10">
        <f t="shared" si="26"/>
        <v>40.545</v>
      </c>
      <c r="Q114" s="10">
        <f t="shared" si="5"/>
        <v>345.984</v>
      </c>
      <c r="R114" s="10">
        <f t="shared" si="27"/>
        <v>225.1599</v>
      </c>
      <c r="S114" s="10">
        <f t="shared" si="7"/>
        <v>75.0533</v>
      </c>
      <c r="T114" s="10">
        <f t="shared" si="8"/>
        <v>24.017056</v>
      </c>
      <c r="U114" s="10">
        <f t="shared" si="9"/>
        <v>60.04264</v>
      </c>
      <c r="V114" s="10">
        <f t="shared" si="28"/>
        <v>225.1599</v>
      </c>
      <c r="W114" s="10">
        <f t="shared" si="11"/>
        <v>18.012792</v>
      </c>
      <c r="X114" s="10">
        <f t="shared" si="12"/>
        <v>45.03198</v>
      </c>
      <c r="Y114" s="10">
        <f t="shared" si="29"/>
        <v>57.82</v>
      </c>
      <c r="Z114" s="51">
        <f t="shared" si="14"/>
        <v>2008.816568</v>
      </c>
      <c r="AA114" s="57">
        <v>3589.43</v>
      </c>
      <c r="AB114" s="15">
        <f t="shared" si="15"/>
        <v>9923.046568</v>
      </c>
      <c r="AC114" s="18"/>
    </row>
    <row r="115" ht="18.75" customHeight="1">
      <c r="A115" s="54" t="s">
        <v>266</v>
      </c>
      <c r="B115" s="54" t="s">
        <v>49</v>
      </c>
      <c r="C115" s="45" t="s">
        <v>356</v>
      </c>
      <c r="D115" s="46" t="s">
        <v>58</v>
      </c>
      <c r="E115" s="47" t="s">
        <v>370</v>
      </c>
      <c r="F115" s="48">
        <v>44936.0</v>
      </c>
      <c r="G115" s="49">
        <v>3398.4</v>
      </c>
      <c r="H115" s="12"/>
      <c r="I115" s="12">
        <f t="shared" ref="I115:I120" si="31">G115*10%</f>
        <v>339.84</v>
      </c>
      <c r="J115" s="12">
        <f>G115*10%</f>
        <v>339.84</v>
      </c>
      <c r="K115" s="12"/>
      <c r="L115" s="12"/>
      <c r="M115" s="50">
        <f t="shared" si="24"/>
        <v>4078.08</v>
      </c>
      <c r="N115" s="10">
        <f t="shared" si="2"/>
        <v>815.616</v>
      </c>
      <c r="O115" s="10">
        <f t="shared" si="25"/>
        <v>33.984</v>
      </c>
      <c r="P115" s="10">
        <f t="shared" si="26"/>
        <v>50.976</v>
      </c>
      <c r="Q115" s="10">
        <f t="shared" si="5"/>
        <v>326.2464</v>
      </c>
      <c r="R115" s="10">
        <f t="shared" si="27"/>
        <v>283.08672</v>
      </c>
      <c r="S115" s="10">
        <f t="shared" si="7"/>
        <v>94.36224</v>
      </c>
      <c r="T115" s="10">
        <f t="shared" si="8"/>
        <v>30.1959168</v>
      </c>
      <c r="U115" s="10">
        <f t="shared" si="9"/>
        <v>75.489792</v>
      </c>
      <c r="V115" s="10">
        <f t="shared" si="28"/>
        <v>283.08672</v>
      </c>
      <c r="W115" s="10">
        <f t="shared" si="11"/>
        <v>22.6469376</v>
      </c>
      <c r="X115" s="10">
        <f t="shared" si="12"/>
        <v>56.617344</v>
      </c>
      <c r="Y115" s="10">
        <f t="shared" si="29"/>
        <v>16.096</v>
      </c>
      <c r="Z115" s="51">
        <f t="shared" si="14"/>
        <v>2088.40407</v>
      </c>
      <c r="AA115" s="52"/>
      <c r="AB115" s="15">
        <f t="shared" si="15"/>
        <v>6166.48407</v>
      </c>
      <c r="AC115" s="18"/>
    </row>
    <row r="116" ht="18.75" customHeight="1">
      <c r="A116" s="54" t="s">
        <v>266</v>
      </c>
      <c r="B116" s="54" t="s">
        <v>49</v>
      </c>
      <c r="C116" s="45" t="s">
        <v>324</v>
      </c>
      <c r="D116" s="46" t="s">
        <v>57</v>
      </c>
      <c r="E116" s="47" t="s">
        <v>371</v>
      </c>
      <c r="F116" s="48">
        <v>44490.0</v>
      </c>
      <c r="G116" s="49">
        <v>2832.0</v>
      </c>
      <c r="H116" s="12">
        <f>G116*40%</f>
        <v>1132.8</v>
      </c>
      <c r="I116" s="12">
        <f t="shared" si="31"/>
        <v>283.2</v>
      </c>
      <c r="J116" s="12">
        <f>G116*20%</f>
        <v>566.4</v>
      </c>
      <c r="K116" s="12"/>
      <c r="L116" s="12"/>
      <c r="M116" s="50">
        <f t="shared" si="24"/>
        <v>4814.4</v>
      </c>
      <c r="N116" s="10">
        <f t="shared" si="2"/>
        <v>962.88</v>
      </c>
      <c r="O116" s="10">
        <f t="shared" si="25"/>
        <v>28.32</v>
      </c>
      <c r="P116" s="10">
        <f t="shared" si="26"/>
        <v>42.48</v>
      </c>
      <c r="Q116" s="10">
        <f t="shared" si="5"/>
        <v>385.152</v>
      </c>
      <c r="R116" s="10">
        <f t="shared" si="27"/>
        <v>235.9056</v>
      </c>
      <c r="S116" s="10">
        <f t="shared" si="7"/>
        <v>78.6352</v>
      </c>
      <c r="T116" s="10">
        <f t="shared" si="8"/>
        <v>25.163264</v>
      </c>
      <c r="U116" s="10">
        <f t="shared" si="9"/>
        <v>62.90816</v>
      </c>
      <c r="V116" s="10">
        <f t="shared" si="28"/>
        <v>235.9056</v>
      </c>
      <c r="W116" s="10">
        <f t="shared" si="11"/>
        <v>18.872448</v>
      </c>
      <c r="X116" s="10">
        <f t="shared" si="12"/>
        <v>47.18112</v>
      </c>
      <c r="Y116" s="10">
        <f t="shared" si="29"/>
        <v>50.08</v>
      </c>
      <c r="Z116" s="51">
        <f t="shared" si="14"/>
        <v>2173.483392</v>
      </c>
      <c r="AA116" s="57">
        <v>2029.43</v>
      </c>
      <c r="AB116" s="15">
        <f t="shared" si="15"/>
        <v>9017.313392</v>
      </c>
      <c r="AC116" s="18"/>
    </row>
    <row r="117" ht="18.75" customHeight="1">
      <c r="A117" s="54" t="s">
        <v>266</v>
      </c>
      <c r="B117" s="54" t="s">
        <v>49</v>
      </c>
      <c r="C117" s="45" t="s">
        <v>350</v>
      </c>
      <c r="D117" s="46" t="s">
        <v>55</v>
      </c>
      <c r="E117" s="47" t="s">
        <v>372</v>
      </c>
      <c r="F117" s="48">
        <v>45051.0</v>
      </c>
      <c r="G117" s="49">
        <v>3256.8</v>
      </c>
      <c r="H117" s="12"/>
      <c r="I117" s="12">
        <f t="shared" si="31"/>
        <v>325.68</v>
      </c>
      <c r="J117" s="12">
        <f>G117*10%</f>
        <v>325.68</v>
      </c>
      <c r="K117" s="12"/>
      <c r="L117" s="12"/>
      <c r="M117" s="50">
        <f t="shared" si="24"/>
        <v>3908.16</v>
      </c>
      <c r="N117" s="10">
        <f t="shared" si="2"/>
        <v>781.632</v>
      </c>
      <c r="O117" s="10">
        <f t="shared" si="25"/>
        <v>32.568</v>
      </c>
      <c r="P117" s="10">
        <f t="shared" si="26"/>
        <v>48.852</v>
      </c>
      <c r="Q117" s="10">
        <f t="shared" si="5"/>
        <v>312.6528</v>
      </c>
      <c r="R117" s="10">
        <f t="shared" si="27"/>
        <v>271.29144</v>
      </c>
      <c r="S117" s="10">
        <f t="shared" si="7"/>
        <v>90.43048</v>
      </c>
      <c r="T117" s="10">
        <f t="shared" si="8"/>
        <v>28.9377536</v>
      </c>
      <c r="U117" s="10">
        <f t="shared" si="9"/>
        <v>72.344384</v>
      </c>
      <c r="V117" s="10">
        <f t="shared" si="28"/>
        <v>271.29144</v>
      </c>
      <c r="W117" s="10">
        <f t="shared" si="11"/>
        <v>21.7033152</v>
      </c>
      <c r="X117" s="10">
        <f t="shared" si="12"/>
        <v>54.258288</v>
      </c>
      <c r="Y117" s="10">
        <f t="shared" si="29"/>
        <v>24.592</v>
      </c>
      <c r="Z117" s="51">
        <f t="shared" si="14"/>
        <v>2010.553901</v>
      </c>
      <c r="AA117" s="52"/>
      <c r="AB117" s="15">
        <f t="shared" si="15"/>
        <v>5918.713901</v>
      </c>
      <c r="AC117" s="18"/>
    </row>
    <row r="118" ht="18.75" customHeight="1">
      <c r="A118" s="54" t="s">
        <v>266</v>
      </c>
      <c r="B118" s="54" t="s">
        <v>49</v>
      </c>
      <c r="C118" s="45" t="s">
        <v>350</v>
      </c>
      <c r="D118" s="46" t="s">
        <v>64</v>
      </c>
      <c r="E118" s="47" t="s">
        <v>373</v>
      </c>
      <c r="F118" s="48">
        <v>45444.0</v>
      </c>
      <c r="G118" s="49">
        <v>2575.0</v>
      </c>
      <c r="H118" s="12"/>
      <c r="I118" s="12">
        <f t="shared" si="31"/>
        <v>257.5</v>
      </c>
      <c r="J118" s="12"/>
      <c r="K118" s="12"/>
      <c r="L118" s="12"/>
      <c r="M118" s="50">
        <f t="shared" si="24"/>
        <v>2832.5</v>
      </c>
      <c r="N118" s="10">
        <f t="shared" si="2"/>
        <v>566.5</v>
      </c>
      <c r="O118" s="10">
        <f t="shared" si="25"/>
        <v>25.75</v>
      </c>
      <c r="P118" s="10">
        <f t="shared" si="26"/>
        <v>38.625</v>
      </c>
      <c r="Q118" s="10">
        <f t="shared" si="5"/>
        <v>226.6</v>
      </c>
      <c r="R118" s="10">
        <f t="shared" si="27"/>
        <v>214.4975</v>
      </c>
      <c r="S118" s="10">
        <f t="shared" si="7"/>
        <v>71.49916667</v>
      </c>
      <c r="T118" s="10">
        <f t="shared" si="8"/>
        <v>22.87973333</v>
      </c>
      <c r="U118" s="10">
        <f t="shared" si="9"/>
        <v>57.19933333</v>
      </c>
      <c r="V118" s="10">
        <f t="shared" si="28"/>
        <v>214.4975</v>
      </c>
      <c r="W118" s="10">
        <f t="shared" si="11"/>
        <v>17.1598</v>
      </c>
      <c r="X118" s="10">
        <f t="shared" si="12"/>
        <v>42.8995</v>
      </c>
      <c r="Y118" s="10">
        <f t="shared" si="29"/>
        <v>65.5</v>
      </c>
      <c r="Z118" s="51">
        <f t="shared" si="14"/>
        <v>1563.607533</v>
      </c>
      <c r="AA118" s="52"/>
      <c r="AB118" s="15">
        <f t="shared" si="15"/>
        <v>4396.107533</v>
      </c>
      <c r="AC118" s="18"/>
    </row>
    <row r="119" ht="18.75" customHeight="1">
      <c r="A119" s="54" t="s">
        <v>266</v>
      </c>
      <c r="B119" s="54" t="s">
        <v>49</v>
      </c>
      <c r="C119" s="45" t="s">
        <v>329</v>
      </c>
      <c r="D119" s="46" t="s">
        <v>56</v>
      </c>
      <c r="E119" s="47" t="s">
        <v>374</v>
      </c>
      <c r="F119" s="48">
        <v>44513.0</v>
      </c>
      <c r="G119" s="49">
        <v>2832.0</v>
      </c>
      <c r="H119" s="12"/>
      <c r="I119" s="12">
        <f t="shared" si="31"/>
        <v>283.2</v>
      </c>
      <c r="J119" s="12">
        <f t="shared" ref="J119:J120" si="32">G119*10%</f>
        <v>283.2</v>
      </c>
      <c r="K119" s="12"/>
      <c r="L119" s="12"/>
      <c r="M119" s="50">
        <f t="shared" si="24"/>
        <v>3398.4</v>
      </c>
      <c r="N119" s="10">
        <f t="shared" si="2"/>
        <v>679.68</v>
      </c>
      <c r="O119" s="10">
        <f t="shared" si="25"/>
        <v>28.32</v>
      </c>
      <c r="P119" s="10">
        <f t="shared" si="26"/>
        <v>42.48</v>
      </c>
      <c r="Q119" s="10">
        <f t="shared" si="5"/>
        <v>271.872</v>
      </c>
      <c r="R119" s="10">
        <f t="shared" si="27"/>
        <v>235.9056</v>
      </c>
      <c r="S119" s="10">
        <f t="shared" si="7"/>
        <v>78.6352</v>
      </c>
      <c r="T119" s="10">
        <f t="shared" si="8"/>
        <v>25.163264</v>
      </c>
      <c r="U119" s="10">
        <f t="shared" si="9"/>
        <v>62.90816</v>
      </c>
      <c r="V119" s="10">
        <f t="shared" si="28"/>
        <v>235.9056</v>
      </c>
      <c r="W119" s="10">
        <f t="shared" si="11"/>
        <v>18.872448</v>
      </c>
      <c r="X119" s="10">
        <f t="shared" si="12"/>
        <v>47.18112</v>
      </c>
      <c r="Y119" s="10">
        <f t="shared" si="29"/>
        <v>50.08</v>
      </c>
      <c r="Z119" s="51">
        <f t="shared" si="14"/>
        <v>1777.003392</v>
      </c>
      <c r="AA119" s="52"/>
      <c r="AB119" s="15">
        <f t="shared" si="15"/>
        <v>5175.403392</v>
      </c>
      <c r="AC119" s="18"/>
    </row>
    <row r="120" ht="18.75" customHeight="1">
      <c r="A120" s="54" t="s">
        <v>266</v>
      </c>
      <c r="B120" s="54" t="s">
        <v>49</v>
      </c>
      <c r="C120" s="45" t="s">
        <v>329</v>
      </c>
      <c r="D120" s="46" t="s">
        <v>63</v>
      </c>
      <c r="E120" s="47" t="s">
        <v>373</v>
      </c>
      <c r="F120" s="48">
        <v>45574.0</v>
      </c>
      <c r="G120" s="49">
        <v>2575.0</v>
      </c>
      <c r="H120" s="12"/>
      <c r="I120" s="12">
        <f t="shared" si="31"/>
        <v>257.5</v>
      </c>
      <c r="J120" s="12">
        <f t="shared" si="32"/>
        <v>257.5</v>
      </c>
      <c r="K120" s="12"/>
      <c r="L120" s="12"/>
      <c r="M120" s="50">
        <f t="shared" si="24"/>
        <v>3090</v>
      </c>
      <c r="N120" s="10">
        <f t="shared" si="2"/>
        <v>618</v>
      </c>
      <c r="O120" s="10">
        <f t="shared" si="25"/>
        <v>25.75</v>
      </c>
      <c r="P120" s="10">
        <f t="shared" si="26"/>
        <v>38.625</v>
      </c>
      <c r="Q120" s="10">
        <f t="shared" si="5"/>
        <v>247.2</v>
      </c>
      <c r="R120" s="10">
        <f t="shared" si="27"/>
        <v>214.4975</v>
      </c>
      <c r="S120" s="10">
        <f t="shared" si="7"/>
        <v>71.49916667</v>
      </c>
      <c r="T120" s="10">
        <f t="shared" si="8"/>
        <v>22.87973333</v>
      </c>
      <c r="U120" s="10">
        <f t="shared" si="9"/>
        <v>57.19933333</v>
      </c>
      <c r="V120" s="10">
        <f t="shared" si="28"/>
        <v>214.4975</v>
      </c>
      <c r="W120" s="10">
        <f t="shared" si="11"/>
        <v>17.1598</v>
      </c>
      <c r="X120" s="10">
        <f t="shared" si="12"/>
        <v>42.8995</v>
      </c>
      <c r="Y120" s="10">
        <f t="shared" si="29"/>
        <v>65.5</v>
      </c>
      <c r="Z120" s="51">
        <f t="shared" si="14"/>
        <v>1635.707533</v>
      </c>
      <c r="AA120" s="52"/>
      <c r="AB120" s="15">
        <f t="shared" si="15"/>
        <v>4725.707533</v>
      </c>
      <c r="AC120" s="18"/>
    </row>
    <row r="121" ht="18.75" customHeight="1">
      <c r="A121" s="54" t="s">
        <v>266</v>
      </c>
      <c r="B121" s="54" t="s">
        <v>49</v>
      </c>
      <c r="C121" s="45" t="s">
        <v>329</v>
      </c>
      <c r="D121" s="46" t="s">
        <v>375</v>
      </c>
      <c r="E121" s="47" t="s">
        <v>376</v>
      </c>
      <c r="F121" s="48">
        <v>45964.0</v>
      </c>
      <c r="G121" s="49">
        <v>2340.0</v>
      </c>
      <c r="H121" s="12"/>
      <c r="I121" s="12"/>
      <c r="J121" s="12"/>
      <c r="K121" s="12"/>
      <c r="L121" s="12"/>
      <c r="M121" s="50">
        <f t="shared" si="24"/>
        <v>2340</v>
      </c>
      <c r="N121" s="10">
        <f t="shared" si="2"/>
        <v>468</v>
      </c>
      <c r="O121" s="10">
        <f t="shared" si="25"/>
        <v>23.4</v>
      </c>
      <c r="P121" s="10">
        <f t="shared" si="26"/>
        <v>35.1</v>
      </c>
      <c r="Q121" s="10">
        <f t="shared" si="5"/>
        <v>187.2</v>
      </c>
      <c r="R121" s="10">
        <f t="shared" si="27"/>
        <v>194.922</v>
      </c>
      <c r="S121" s="10">
        <f t="shared" si="7"/>
        <v>64.974</v>
      </c>
      <c r="T121" s="10">
        <f t="shared" si="8"/>
        <v>20.79168</v>
      </c>
      <c r="U121" s="10">
        <f t="shared" si="9"/>
        <v>51.9792</v>
      </c>
      <c r="V121" s="10">
        <f t="shared" si="28"/>
        <v>194.922</v>
      </c>
      <c r="W121" s="10">
        <f t="shared" si="11"/>
        <v>15.59376</v>
      </c>
      <c r="X121" s="10">
        <f t="shared" si="12"/>
        <v>38.9844</v>
      </c>
      <c r="Y121" s="10">
        <f t="shared" si="29"/>
        <v>79.6</v>
      </c>
      <c r="Z121" s="51">
        <f t="shared" si="14"/>
        <v>1375.46704</v>
      </c>
      <c r="AA121" s="52"/>
      <c r="AB121" s="15">
        <f t="shared" si="15"/>
        <v>3715.46704</v>
      </c>
      <c r="AC121" s="18"/>
    </row>
    <row r="122" ht="18.75" customHeight="1">
      <c r="A122" s="54" t="s">
        <v>266</v>
      </c>
      <c r="B122" s="54" t="s">
        <v>49</v>
      </c>
      <c r="C122" s="58" t="s">
        <v>281</v>
      </c>
      <c r="D122" s="46"/>
      <c r="E122" s="47" t="s">
        <v>373</v>
      </c>
      <c r="F122" s="48"/>
      <c r="G122" s="49">
        <v>0.0</v>
      </c>
      <c r="H122" s="12"/>
      <c r="I122" s="12"/>
      <c r="J122" s="12"/>
      <c r="K122" s="12"/>
      <c r="L122" s="12"/>
      <c r="M122" s="50">
        <f t="shared" si="24"/>
        <v>0</v>
      </c>
      <c r="N122" s="10">
        <f t="shared" si="2"/>
        <v>0</v>
      </c>
      <c r="O122" s="10">
        <f t="shared" si="25"/>
        <v>0</v>
      </c>
      <c r="P122" s="10">
        <f t="shared" si="26"/>
        <v>0</v>
      </c>
      <c r="Q122" s="10">
        <f t="shared" si="5"/>
        <v>0</v>
      </c>
      <c r="R122" s="10">
        <f t="shared" si="27"/>
        <v>0</v>
      </c>
      <c r="S122" s="10">
        <f t="shared" si="7"/>
        <v>0</v>
      </c>
      <c r="T122" s="10">
        <f t="shared" si="8"/>
        <v>0</v>
      </c>
      <c r="U122" s="10">
        <f t="shared" si="9"/>
        <v>0</v>
      </c>
      <c r="V122" s="10">
        <f t="shared" si="28"/>
        <v>0</v>
      </c>
      <c r="W122" s="10">
        <f t="shared" si="11"/>
        <v>0</v>
      </c>
      <c r="X122" s="10">
        <f t="shared" si="12"/>
        <v>0</v>
      </c>
      <c r="Y122" s="10">
        <f t="shared" si="29"/>
        <v>0</v>
      </c>
      <c r="Z122" s="51">
        <f t="shared" si="14"/>
        <v>0</v>
      </c>
      <c r="AA122" s="52"/>
      <c r="AB122" s="15">
        <f t="shared" si="15"/>
        <v>0</v>
      </c>
      <c r="AC122" s="18"/>
    </row>
    <row r="123" ht="18.75" customHeight="1">
      <c r="A123" s="54" t="s">
        <v>266</v>
      </c>
      <c r="B123" s="54" t="s">
        <v>49</v>
      </c>
      <c r="C123" s="45" t="s">
        <v>356</v>
      </c>
      <c r="D123" s="46" t="s">
        <v>377</v>
      </c>
      <c r="E123" s="47" t="s">
        <v>260</v>
      </c>
      <c r="F123" s="48">
        <v>45915.0</v>
      </c>
      <c r="G123" s="49">
        <v>966.43</v>
      </c>
      <c r="H123" s="12"/>
      <c r="I123" s="12"/>
      <c r="J123" s="12"/>
      <c r="K123" s="12"/>
      <c r="L123" s="12"/>
      <c r="M123" s="50">
        <f t="shared" si="24"/>
        <v>966.43</v>
      </c>
      <c r="N123" s="10">
        <f t="shared" si="2"/>
        <v>193.286</v>
      </c>
      <c r="O123" s="10">
        <f t="shared" si="25"/>
        <v>9.6643</v>
      </c>
      <c r="P123" s="10">
        <f t="shared" si="26"/>
        <v>14.49645</v>
      </c>
      <c r="Q123" s="10">
        <f t="shared" si="5"/>
        <v>77.3144</v>
      </c>
      <c r="R123" s="10">
        <f t="shared" si="27"/>
        <v>80.503619</v>
      </c>
      <c r="S123" s="10">
        <f t="shared" si="7"/>
        <v>26.83453967</v>
      </c>
      <c r="T123" s="10">
        <f t="shared" si="8"/>
        <v>8.587052693</v>
      </c>
      <c r="U123" s="10">
        <f t="shared" si="9"/>
        <v>21.46763173</v>
      </c>
      <c r="V123" s="10">
        <f t="shared" si="28"/>
        <v>80.503619</v>
      </c>
      <c r="W123" s="10">
        <f t="shared" si="11"/>
        <v>6.44028952</v>
      </c>
      <c r="X123" s="10">
        <f t="shared" si="12"/>
        <v>16.1007238</v>
      </c>
      <c r="Y123" s="10">
        <f t="shared" si="29"/>
        <v>162.0142</v>
      </c>
      <c r="Z123" s="51">
        <f t="shared" si="14"/>
        <v>697.2128254</v>
      </c>
      <c r="AA123" s="52"/>
      <c r="AB123" s="15">
        <f t="shared" si="15"/>
        <v>1663.642825</v>
      </c>
      <c r="AC123" s="18"/>
    </row>
    <row r="124" ht="18.75" customHeight="1">
      <c r="A124" s="54" t="s">
        <v>266</v>
      </c>
      <c r="B124" s="54" t="s">
        <v>49</v>
      </c>
      <c r="C124" s="45" t="s">
        <v>324</v>
      </c>
      <c r="D124" s="46" t="s">
        <v>60</v>
      </c>
      <c r="E124" s="47" t="s">
        <v>373</v>
      </c>
      <c r="F124" s="48">
        <v>44832.0</v>
      </c>
      <c r="G124" s="49">
        <v>2575.0</v>
      </c>
      <c r="H124" s="12"/>
      <c r="I124" s="12">
        <f t="shared" ref="I124:I125" si="33">G124*10%</f>
        <v>257.5</v>
      </c>
      <c r="J124" s="12">
        <f t="shared" ref="J124:J125" si="34">G124*10%</f>
        <v>257.5</v>
      </c>
      <c r="K124" s="12"/>
      <c r="L124" s="12"/>
      <c r="M124" s="50">
        <f t="shared" si="24"/>
        <v>3090</v>
      </c>
      <c r="N124" s="10">
        <f t="shared" si="2"/>
        <v>618</v>
      </c>
      <c r="O124" s="10">
        <f t="shared" si="25"/>
        <v>25.75</v>
      </c>
      <c r="P124" s="10">
        <f t="shared" si="26"/>
        <v>38.625</v>
      </c>
      <c r="Q124" s="10">
        <f t="shared" si="5"/>
        <v>247.2</v>
      </c>
      <c r="R124" s="10">
        <f t="shared" si="27"/>
        <v>214.4975</v>
      </c>
      <c r="S124" s="10">
        <f t="shared" si="7"/>
        <v>71.49916667</v>
      </c>
      <c r="T124" s="10">
        <f t="shared" si="8"/>
        <v>22.87973333</v>
      </c>
      <c r="U124" s="10">
        <f t="shared" si="9"/>
        <v>57.19933333</v>
      </c>
      <c r="V124" s="10">
        <f t="shared" si="28"/>
        <v>214.4975</v>
      </c>
      <c r="W124" s="10">
        <f t="shared" si="11"/>
        <v>17.1598</v>
      </c>
      <c r="X124" s="10">
        <f t="shared" si="12"/>
        <v>42.8995</v>
      </c>
      <c r="Y124" s="10">
        <f t="shared" si="29"/>
        <v>65.5</v>
      </c>
      <c r="Z124" s="51">
        <f t="shared" si="14"/>
        <v>1635.707533</v>
      </c>
      <c r="AA124" s="52"/>
      <c r="AB124" s="15">
        <f t="shared" si="15"/>
        <v>4725.707533</v>
      </c>
      <c r="AC124" s="18"/>
    </row>
    <row r="125" ht="18.75" customHeight="1">
      <c r="A125" s="54" t="s">
        <v>266</v>
      </c>
      <c r="B125" s="54" t="s">
        <v>49</v>
      </c>
      <c r="C125" s="45" t="s">
        <v>324</v>
      </c>
      <c r="D125" s="46" t="s">
        <v>62</v>
      </c>
      <c r="E125" s="47" t="s">
        <v>373</v>
      </c>
      <c r="F125" s="48">
        <v>45574.0</v>
      </c>
      <c r="G125" s="49">
        <v>2575.0</v>
      </c>
      <c r="H125" s="12"/>
      <c r="I125" s="12">
        <f t="shared" si="33"/>
        <v>257.5</v>
      </c>
      <c r="J125" s="12">
        <f t="shared" si="34"/>
        <v>257.5</v>
      </c>
      <c r="K125" s="12"/>
      <c r="L125" s="12"/>
      <c r="M125" s="50">
        <f t="shared" si="24"/>
        <v>3090</v>
      </c>
      <c r="N125" s="10">
        <f t="shared" si="2"/>
        <v>618</v>
      </c>
      <c r="O125" s="10">
        <f t="shared" si="25"/>
        <v>25.75</v>
      </c>
      <c r="P125" s="10">
        <f t="shared" si="26"/>
        <v>38.625</v>
      </c>
      <c r="Q125" s="10">
        <f t="shared" si="5"/>
        <v>247.2</v>
      </c>
      <c r="R125" s="10">
        <f t="shared" si="27"/>
        <v>214.4975</v>
      </c>
      <c r="S125" s="10">
        <f t="shared" si="7"/>
        <v>71.49916667</v>
      </c>
      <c r="T125" s="10">
        <f t="shared" si="8"/>
        <v>22.87973333</v>
      </c>
      <c r="U125" s="10">
        <f t="shared" si="9"/>
        <v>57.19933333</v>
      </c>
      <c r="V125" s="10">
        <f t="shared" si="28"/>
        <v>214.4975</v>
      </c>
      <c r="W125" s="10">
        <f t="shared" si="11"/>
        <v>17.1598</v>
      </c>
      <c r="X125" s="10">
        <f t="shared" si="12"/>
        <v>42.8995</v>
      </c>
      <c r="Y125" s="10">
        <f t="shared" si="29"/>
        <v>65.5</v>
      </c>
      <c r="Z125" s="51">
        <f t="shared" si="14"/>
        <v>1635.707533</v>
      </c>
      <c r="AA125" s="52"/>
      <c r="AB125" s="15">
        <f t="shared" si="15"/>
        <v>4725.707533</v>
      </c>
      <c r="AC125" s="18"/>
    </row>
    <row r="126" ht="18.75" customHeight="1">
      <c r="A126" s="54" t="s">
        <v>266</v>
      </c>
      <c r="B126" s="54" t="s">
        <v>49</v>
      </c>
      <c r="C126" s="45" t="s">
        <v>329</v>
      </c>
      <c r="D126" s="46" t="s">
        <v>378</v>
      </c>
      <c r="E126" s="47" t="s">
        <v>379</v>
      </c>
      <c r="F126" s="48">
        <v>45962.0</v>
      </c>
      <c r="G126" s="49">
        <v>2703.0</v>
      </c>
      <c r="H126" s="12"/>
      <c r="I126" s="12"/>
      <c r="J126" s="12"/>
      <c r="K126" s="12"/>
      <c r="L126" s="12"/>
      <c r="M126" s="50">
        <f t="shared" si="24"/>
        <v>2703</v>
      </c>
      <c r="N126" s="10">
        <f t="shared" si="2"/>
        <v>540.6</v>
      </c>
      <c r="O126" s="10">
        <f t="shared" si="25"/>
        <v>27.03</v>
      </c>
      <c r="P126" s="10">
        <f t="shared" si="26"/>
        <v>40.545</v>
      </c>
      <c r="Q126" s="10">
        <f t="shared" si="5"/>
        <v>216.24</v>
      </c>
      <c r="R126" s="10">
        <f t="shared" si="27"/>
        <v>225.1599</v>
      </c>
      <c r="S126" s="10">
        <f t="shared" si="7"/>
        <v>75.0533</v>
      </c>
      <c r="T126" s="10">
        <f t="shared" si="8"/>
        <v>24.017056</v>
      </c>
      <c r="U126" s="10">
        <f t="shared" si="9"/>
        <v>60.04264</v>
      </c>
      <c r="V126" s="10">
        <f t="shared" si="28"/>
        <v>225.1599</v>
      </c>
      <c r="W126" s="10">
        <f t="shared" si="11"/>
        <v>18.012792</v>
      </c>
      <c r="X126" s="10">
        <f t="shared" si="12"/>
        <v>45.03198</v>
      </c>
      <c r="Y126" s="10">
        <f t="shared" si="29"/>
        <v>57.82</v>
      </c>
      <c r="Z126" s="51">
        <f t="shared" si="14"/>
        <v>1554.712568</v>
      </c>
      <c r="AA126" s="52"/>
      <c r="AB126" s="15">
        <f t="shared" si="15"/>
        <v>4257.712568</v>
      </c>
      <c r="AC126" s="18"/>
    </row>
    <row r="127" ht="18.75" customHeight="1">
      <c r="A127" s="54" t="s">
        <v>266</v>
      </c>
      <c r="B127" s="54" t="s">
        <v>65</v>
      </c>
      <c r="C127" s="45" t="s">
        <v>329</v>
      </c>
      <c r="D127" s="46" t="s">
        <v>71</v>
      </c>
      <c r="E127" s="47" t="s">
        <v>380</v>
      </c>
      <c r="F127" s="48">
        <v>44758.0</v>
      </c>
      <c r="G127" s="49">
        <v>2409.0</v>
      </c>
      <c r="H127" s="12"/>
      <c r="I127" s="12"/>
      <c r="J127" s="12"/>
      <c r="K127" s="12"/>
      <c r="L127" s="12"/>
      <c r="M127" s="50">
        <f t="shared" si="24"/>
        <v>2409</v>
      </c>
      <c r="N127" s="10">
        <f t="shared" si="2"/>
        <v>481.8</v>
      </c>
      <c r="O127" s="10">
        <f t="shared" si="25"/>
        <v>24.09</v>
      </c>
      <c r="P127" s="10">
        <f t="shared" si="26"/>
        <v>36.135</v>
      </c>
      <c r="Q127" s="10">
        <f t="shared" si="5"/>
        <v>192.72</v>
      </c>
      <c r="R127" s="10">
        <f t="shared" si="27"/>
        <v>200.6697</v>
      </c>
      <c r="S127" s="10">
        <f t="shared" si="7"/>
        <v>66.8899</v>
      </c>
      <c r="T127" s="10">
        <f t="shared" si="8"/>
        <v>21.404768</v>
      </c>
      <c r="U127" s="10">
        <f t="shared" si="9"/>
        <v>53.51192</v>
      </c>
      <c r="V127" s="10">
        <f t="shared" si="28"/>
        <v>200.6697</v>
      </c>
      <c r="W127" s="10">
        <f t="shared" si="11"/>
        <v>16.053576</v>
      </c>
      <c r="X127" s="10">
        <f t="shared" si="12"/>
        <v>40.13394</v>
      </c>
      <c r="Y127" s="10">
        <f t="shared" si="29"/>
        <v>75.46</v>
      </c>
      <c r="Z127" s="51">
        <f t="shared" si="14"/>
        <v>1409.538504</v>
      </c>
      <c r="AA127" s="52"/>
      <c r="AB127" s="15">
        <f t="shared" si="15"/>
        <v>3818.538504</v>
      </c>
      <c r="AC127" s="18"/>
    </row>
    <row r="128" ht="18.75" customHeight="1">
      <c r="A128" s="54" t="s">
        <v>266</v>
      </c>
      <c r="B128" s="54" t="s">
        <v>65</v>
      </c>
      <c r="C128" s="45" t="s">
        <v>329</v>
      </c>
      <c r="D128" s="46" t="s">
        <v>69</v>
      </c>
      <c r="E128" s="47" t="s">
        <v>68</v>
      </c>
      <c r="F128" s="48">
        <v>44509.0</v>
      </c>
      <c r="G128" s="49">
        <v>2190.0</v>
      </c>
      <c r="H128" s="12"/>
      <c r="I128" s="12"/>
      <c r="J128" s="12"/>
      <c r="K128" s="59">
        <v>657.0</v>
      </c>
      <c r="L128" s="12"/>
      <c r="M128" s="50">
        <f t="shared" si="24"/>
        <v>2847</v>
      </c>
      <c r="N128" s="10">
        <f t="shared" si="2"/>
        <v>569.4</v>
      </c>
      <c r="O128" s="10">
        <f t="shared" si="25"/>
        <v>21.9</v>
      </c>
      <c r="P128" s="10">
        <f t="shared" si="26"/>
        <v>32.85</v>
      </c>
      <c r="Q128" s="10">
        <f t="shared" si="5"/>
        <v>227.76</v>
      </c>
      <c r="R128" s="10">
        <f t="shared" si="27"/>
        <v>182.427</v>
      </c>
      <c r="S128" s="10">
        <f t="shared" si="7"/>
        <v>60.809</v>
      </c>
      <c r="T128" s="10">
        <f t="shared" si="8"/>
        <v>19.45888</v>
      </c>
      <c r="U128" s="10">
        <f t="shared" si="9"/>
        <v>48.6472</v>
      </c>
      <c r="V128" s="10">
        <f t="shared" si="28"/>
        <v>182.427</v>
      </c>
      <c r="W128" s="10">
        <f t="shared" si="11"/>
        <v>14.59416</v>
      </c>
      <c r="X128" s="10">
        <f t="shared" si="12"/>
        <v>36.4854</v>
      </c>
      <c r="Y128" s="10">
        <f t="shared" si="29"/>
        <v>88.6</v>
      </c>
      <c r="Z128" s="51">
        <f t="shared" si="14"/>
        <v>1485.35864</v>
      </c>
      <c r="AA128" s="52"/>
      <c r="AB128" s="15">
        <f t="shared" si="15"/>
        <v>4332.35864</v>
      </c>
      <c r="AC128" s="18"/>
    </row>
    <row r="129" ht="18.75" customHeight="1">
      <c r="A129" s="54" t="s">
        <v>266</v>
      </c>
      <c r="B129" s="54" t="s">
        <v>65</v>
      </c>
      <c r="C129" s="45" t="s">
        <v>356</v>
      </c>
      <c r="D129" s="46" t="s">
        <v>67</v>
      </c>
      <c r="E129" s="47" t="s">
        <v>380</v>
      </c>
      <c r="F129" s="48">
        <v>43013.0</v>
      </c>
      <c r="G129" s="49">
        <v>2409.0</v>
      </c>
      <c r="H129" s="12"/>
      <c r="I129" s="12"/>
      <c r="J129" s="12"/>
      <c r="K129" s="12"/>
      <c r="L129" s="12">
        <f>G129*2%</f>
        <v>48.18</v>
      </c>
      <c r="M129" s="50">
        <f t="shared" si="24"/>
        <v>2457.18</v>
      </c>
      <c r="N129" s="10">
        <f t="shared" si="2"/>
        <v>491.436</v>
      </c>
      <c r="O129" s="10">
        <f t="shared" si="25"/>
        <v>24.09</v>
      </c>
      <c r="P129" s="10">
        <f t="shared" si="26"/>
        <v>36.135</v>
      </c>
      <c r="Q129" s="10">
        <f t="shared" si="5"/>
        <v>196.5744</v>
      </c>
      <c r="R129" s="10">
        <f t="shared" si="27"/>
        <v>200.6697</v>
      </c>
      <c r="S129" s="10">
        <f t="shared" si="7"/>
        <v>66.8899</v>
      </c>
      <c r="T129" s="10">
        <f t="shared" si="8"/>
        <v>21.404768</v>
      </c>
      <c r="U129" s="10">
        <f t="shared" si="9"/>
        <v>53.51192</v>
      </c>
      <c r="V129" s="10">
        <f t="shared" si="28"/>
        <v>200.6697</v>
      </c>
      <c r="W129" s="10">
        <f t="shared" si="11"/>
        <v>16.053576</v>
      </c>
      <c r="X129" s="10">
        <f t="shared" si="12"/>
        <v>40.13394</v>
      </c>
      <c r="Y129" s="10">
        <f t="shared" si="29"/>
        <v>75.46</v>
      </c>
      <c r="Z129" s="51">
        <f t="shared" si="14"/>
        <v>1423.028904</v>
      </c>
      <c r="AA129" s="52"/>
      <c r="AB129" s="15">
        <f t="shared" si="15"/>
        <v>3880.208904</v>
      </c>
      <c r="AC129" s="18"/>
    </row>
    <row r="130" ht="18.75" customHeight="1">
      <c r="A130" s="54" t="s">
        <v>266</v>
      </c>
      <c r="B130" s="54" t="s">
        <v>65</v>
      </c>
      <c r="C130" s="45" t="s">
        <v>356</v>
      </c>
      <c r="D130" s="46" t="s">
        <v>72</v>
      </c>
      <c r="E130" s="47" t="s">
        <v>70</v>
      </c>
      <c r="F130" s="48">
        <v>45527.0</v>
      </c>
      <c r="G130" s="49">
        <v>2190.0</v>
      </c>
      <c r="H130" s="12"/>
      <c r="I130" s="12"/>
      <c r="J130" s="12"/>
      <c r="K130" s="12"/>
      <c r="L130" s="12"/>
      <c r="M130" s="50">
        <f t="shared" si="24"/>
        <v>2190</v>
      </c>
      <c r="N130" s="10">
        <f t="shared" si="2"/>
        <v>438</v>
      </c>
      <c r="O130" s="10">
        <f t="shared" si="25"/>
        <v>21.9</v>
      </c>
      <c r="P130" s="10">
        <f t="shared" si="26"/>
        <v>32.85</v>
      </c>
      <c r="Q130" s="10">
        <f t="shared" si="5"/>
        <v>175.2</v>
      </c>
      <c r="R130" s="10">
        <f t="shared" si="27"/>
        <v>182.427</v>
      </c>
      <c r="S130" s="10">
        <f t="shared" si="7"/>
        <v>60.809</v>
      </c>
      <c r="T130" s="10">
        <f t="shared" si="8"/>
        <v>19.45888</v>
      </c>
      <c r="U130" s="10">
        <f t="shared" si="9"/>
        <v>48.6472</v>
      </c>
      <c r="V130" s="10">
        <f t="shared" si="28"/>
        <v>182.427</v>
      </c>
      <c r="W130" s="10">
        <f t="shared" si="11"/>
        <v>14.59416</v>
      </c>
      <c r="X130" s="10">
        <f t="shared" si="12"/>
        <v>36.4854</v>
      </c>
      <c r="Y130" s="10">
        <f t="shared" si="29"/>
        <v>88.6</v>
      </c>
      <c r="Z130" s="51">
        <f t="shared" si="14"/>
        <v>1301.39864</v>
      </c>
      <c r="AA130" s="52"/>
      <c r="AB130" s="15">
        <f t="shared" si="15"/>
        <v>3491.39864</v>
      </c>
      <c r="AC130" s="18"/>
    </row>
    <row r="131" ht="18.75" customHeight="1">
      <c r="A131" s="54" t="s">
        <v>266</v>
      </c>
      <c r="B131" s="54" t="s">
        <v>65</v>
      </c>
      <c r="C131" s="45" t="s">
        <v>351</v>
      </c>
      <c r="D131" s="46" t="s">
        <v>381</v>
      </c>
      <c r="E131" s="47" t="s">
        <v>70</v>
      </c>
      <c r="F131" s="48">
        <v>45931.0</v>
      </c>
      <c r="G131" s="49">
        <v>2190.0</v>
      </c>
      <c r="H131" s="12"/>
      <c r="I131" s="12"/>
      <c r="J131" s="12"/>
      <c r="K131" s="12"/>
      <c r="L131" s="12"/>
      <c r="M131" s="50">
        <f t="shared" si="24"/>
        <v>2190</v>
      </c>
      <c r="N131" s="10">
        <f t="shared" si="2"/>
        <v>438</v>
      </c>
      <c r="O131" s="10">
        <f t="shared" si="25"/>
        <v>21.9</v>
      </c>
      <c r="P131" s="10">
        <f t="shared" si="26"/>
        <v>32.85</v>
      </c>
      <c r="Q131" s="10">
        <f t="shared" si="5"/>
        <v>175.2</v>
      </c>
      <c r="R131" s="10">
        <f t="shared" si="27"/>
        <v>182.427</v>
      </c>
      <c r="S131" s="10">
        <f t="shared" si="7"/>
        <v>60.809</v>
      </c>
      <c r="T131" s="10">
        <f t="shared" si="8"/>
        <v>19.45888</v>
      </c>
      <c r="U131" s="10">
        <f t="shared" si="9"/>
        <v>48.6472</v>
      </c>
      <c r="V131" s="10">
        <f t="shared" si="28"/>
        <v>182.427</v>
      </c>
      <c r="W131" s="10">
        <f t="shared" si="11"/>
        <v>14.59416</v>
      </c>
      <c r="X131" s="10">
        <f t="shared" si="12"/>
        <v>36.4854</v>
      </c>
      <c r="Y131" s="10">
        <f t="shared" si="29"/>
        <v>88.6</v>
      </c>
      <c r="Z131" s="51">
        <f t="shared" si="14"/>
        <v>1301.39864</v>
      </c>
      <c r="AA131" s="52"/>
      <c r="AB131" s="15">
        <f t="shared" si="15"/>
        <v>3491.39864</v>
      </c>
      <c r="AC131" s="18"/>
    </row>
    <row r="132" ht="18.75" customHeight="1">
      <c r="A132" s="54" t="s">
        <v>382</v>
      </c>
      <c r="B132" s="54" t="s">
        <v>98</v>
      </c>
      <c r="C132" s="45" t="s">
        <v>329</v>
      </c>
      <c r="D132" s="46" t="s">
        <v>100</v>
      </c>
      <c r="E132" s="47" t="s">
        <v>99</v>
      </c>
      <c r="F132" s="48">
        <v>44648.0</v>
      </c>
      <c r="G132" s="49">
        <v>3180.0</v>
      </c>
      <c r="H132" s="12">
        <f>G132*40%</f>
        <v>1272</v>
      </c>
      <c r="I132" s="12"/>
      <c r="J132" s="12"/>
      <c r="K132" s="12"/>
      <c r="L132" s="12"/>
      <c r="M132" s="50">
        <f t="shared" si="24"/>
        <v>4452</v>
      </c>
      <c r="N132" s="10">
        <f t="shared" si="2"/>
        <v>890.4</v>
      </c>
      <c r="O132" s="10">
        <f t="shared" si="25"/>
        <v>31.8</v>
      </c>
      <c r="P132" s="10">
        <f t="shared" si="26"/>
        <v>47.7</v>
      </c>
      <c r="Q132" s="10">
        <f t="shared" si="5"/>
        <v>356.16</v>
      </c>
      <c r="R132" s="10">
        <f t="shared" si="27"/>
        <v>264.894</v>
      </c>
      <c r="S132" s="10">
        <f t="shared" si="7"/>
        <v>88.298</v>
      </c>
      <c r="T132" s="10">
        <f t="shared" si="8"/>
        <v>28.25536</v>
      </c>
      <c r="U132" s="10">
        <f t="shared" si="9"/>
        <v>70.6384</v>
      </c>
      <c r="V132" s="10">
        <f t="shared" si="28"/>
        <v>264.894</v>
      </c>
      <c r="W132" s="10">
        <f t="shared" si="11"/>
        <v>21.19152</v>
      </c>
      <c r="X132" s="10">
        <f t="shared" si="12"/>
        <v>52.9788</v>
      </c>
      <c r="Y132" s="10">
        <f t="shared" si="29"/>
        <v>29.2</v>
      </c>
      <c r="Z132" s="51">
        <f t="shared" si="14"/>
        <v>2146.41008</v>
      </c>
      <c r="AA132" s="57">
        <v>636.0</v>
      </c>
      <c r="AB132" s="15">
        <f t="shared" si="15"/>
        <v>7234.41008</v>
      </c>
      <c r="AC132" s="18"/>
    </row>
    <row r="133" ht="18.75" customHeight="1">
      <c r="A133" s="54" t="s">
        <v>382</v>
      </c>
      <c r="B133" s="54" t="s">
        <v>98</v>
      </c>
      <c r="C133" s="45" t="s">
        <v>324</v>
      </c>
      <c r="D133" s="46" t="s">
        <v>102</v>
      </c>
      <c r="E133" s="47" t="s">
        <v>101</v>
      </c>
      <c r="F133" s="48">
        <v>45582.0</v>
      </c>
      <c r="G133" s="49">
        <v>2720.0</v>
      </c>
      <c r="H133" s="12"/>
      <c r="I133" s="12"/>
      <c r="J133" s="12"/>
      <c r="K133" s="12"/>
      <c r="L133" s="12"/>
      <c r="M133" s="50">
        <f t="shared" si="24"/>
        <v>2720</v>
      </c>
      <c r="N133" s="10">
        <f t="shared" si="2"/>
        <v>544</v>
      </c>
      <c r="O133" s="10">
        <f t="shared" si="25"/>
        <v>27.2</v>
      </c>
      <c r="P133" s="10">
        <f t="shared" si="26"/>
        <v>40.8</v>
      </c>
      <c r="Q133" s="10">
        <f t="shared" si="5"/>
        <v>217.6</v>
      </c>
      <c r="R133" s="10">
        <f t="shared" si="27"/>
        <v>226.576</v>
      </c>
      <c r="S133" s="10">
        <f t="shared" si="7"/>
        <v>75.52533333</v>
      </c>
      <c r="T133" s="10">
        <f t="shared" si="8"/>
        <v>24.16810667</v>
      </c>
      <c r="U133" s="10">
        <f t="shared" si="9"/>
        <v>60.42026667</v>
      </c>
      <c r="V133" s="10">
        <f t="shared" si="28"/>
        <v>226.576</v>
      </c>
      <c r="W133" s="10">
        <f t="shared" si="11"/>
        <v>18.12608</v>
      </c>
      <c r="X133" s="10">
        <f t="shared" si="12"/>
        <v>45.3152</v>
      </c>
      <c r="Y133" s="10">
        <f t="shared" si="29"/>
        <v>56.8</v>
      </c>
      <c r="Z133" s="51">
        <f t="shared" si="14"/>
        <v>1563.106987</v>
      </c>
      <c r="AA133" s="57">
        <v>1457.5</v>
      </c>
      <c r="AB133" s="15">
        <f t="shared" si="15"/>
        <v>5740.606987</v>
      </c>
      <c r="AC133" s="18"/>
    </row>
    <row r="134" ht="18.75" customHeight="1">
      <c r="A134" s="54" t="s">
        <v>382</v>
      </c>
      <c r="B134" s="54" t="s">
        <v>98</v>
      </c>
      <c r="C134" s="45" t="s">
        <v>329</v>
      </c>
      <c r="D134" s="46" t="s">
        <v>383</v>
      </c>
      <c r="E134" s="47" t="s">
        <v>384</v>
      </c>
      <c r="F134" s="48">
        <v>45889.0</v>
      </c>
      <c r="G134" s="49">
        <v>2680.0</v>
      </c>
      <c r="H134" s="12"/>
      <c r="I134" s="12"/>
      <c r="J134" s="12"/>
      <c r="K134" s="12"/>
      <c r="L134" s="12"/>
      <c r="M134" s="50">
        <f t="shared" si="24"/>
        <v>2680</v>
      </c>
      <c r="N134" s="10">
        <f t="shared" si="2"/>
        <v>536</v>
      </c>
      <c r="O134" s="10">
        <f t="shared" si="25"/>
        <v>26.8</v>
      </c>
      <c r="P134" s="10">
        <f t="shared" si="26"/>
        <v>40.2</v>
      </c>
      <c r="Q134" s="10">
        <f t="shared" si="5"/>
        <v>214.4</v>
      </c>
      <c r="R134" s="10">
        <f t="shared" si="27"/>
        <v>223.244</v>
      </c>
      <c r="S134" s="10">
        <f t="shared" si="7"/>
        <v>74.41466667</v>
      </c>
      <c r="T134" s="10">
        <f t="shared" si="8"/>
        <v>23.81269333</v>
      </c>
      <c r="U134" s="10">
        <f t="shared" si="9"/>
        <v>59.53173333</v>
      </c>
      <c r="V134" s="10">
        <f t="shared" si="28"/>
        <v>223.244</v>
      </c>
      <c r="W134" s="10">
        <f t="shared" si="11"/>
        <v>17.85952</v>
      </c>
      <c r="X134" s="10">
        <f t="shared" si="12"/>
        <v>44.6488</v>
      </c>
      <c r="Y134" s="10">
        <f t="shared" si="29"/>
        <v>59.2</v>
      </c>
      <c r="Z134" s="51">
        <f t="shared" si="14"/>
        <v>1543.355413</v>
      </c>
      <c r="AA134" s="57">
        <v>40.0</v>
      </c>
      <c r="AB134" s="15">
        <f t="shared" si="15"/>
        <v>4263.355413</v>
      </c>
      <c r="AC134" s="18"/>
    </row>
    <row r="135" ht="18.75" customHeight="1">
      <c r="A135" s="54" t="s">
        <v>382</v>
      </c>
      <c r="B135" s="54" t="s">
        <v>98</v>
      </c>
      <c r="C135" s="45" t="s">
        <v>329</v>
      </c>
      <c r="D135" s="46" t="s">
        <v>385</v>
      </c>
      <c r="E135" s="47" t="s">
        <v>384</v>
      </c>
      <c r="F135" s="48">
        <v>45667.0</v>
      </c>
      <c r="G135" s="49">
        <v>2680.0</v>
      </c>
      <c r="H135" s="12"/>
      <c r="I135" s="12"/>
      <c r="J135" s="12"/>
      <c r="K135" s="12"/>
      <c r="L135" s="12"/>
      <c r="M135" s="50">
        <f t="shared" si="24"/>
        <v>2680</v>
      </c>
      <c r="N135" s="10">
        <f t="shared" si="2"/>
        <v>536</v>
      </c>
      <c r="O135" s="10">
        <f t="shared" si="25"/>
        <v>26.8</v>
      </c>
      <c r="P135" s="10">
        <f t="shared" si="26"/>
        <v>40.2</v>
      </c>
      <c r="Q135" s="10">
        <f t="shared" si="5"/>
        <v>214.4</v>
      </c>
      <c r="R135" s="10">
        <f t="shared" si="27"/>
        <v>223.244</v>
      </c>
      <c r="S135" s="10">
        <f t="shared" si="7"/>
        <v>74.41466667</v>
      </c>
      <c r="T135" s="10">
        <f t="shared" si="8"/>
        <v>23.81269333</v>
      </c>
      <c r="U135" s="10">
        <f t="shared" si="9"/>
        <v>59.53173333</v>
      </c>
      <c r="V135" s="10">
        <f t="shared" si="28"/>
        <v>223.244</v>
      </c>
      <c r="W135" s="10">
        <f t="shared" si="11"/>
        <v>17.85952</v>
      </c>
      <c r="X135" s="10">
        <f t="shared" si="12"/>
        <v>44.6488</v>
      </c>
      <c r="Y135" s="10">
        <f t="shared" si="29"/>
        <v>59.2</v>
      </c>
      <c r="Z135" s="51">
        <f t="shared" si="14"/>
        <v>1543.355413</v>
      </c>
      <c r="AA135" s="52"/>
      <c r="AB135" s="15">
        <f t="shared" si="15"/>
        <v>4223.355413</v>
      </c>
      <c r="AC135" s="18"/>
    </row>
    <row r="136" ht="18.75" customHeight="1">
      <c r="A136" s="54" t="s">
        <v>382</v>
      </c>
      <c r="B136" s="54" t="s">
        <v>98</v>
      </c>
      <c r="C136" s="60" t="s">
        <v>386</v>
      </c>
      <c r="D136" s="46"/>
      <c r="E136" s="47" t="s">
        <v>384</v>
      </c>
      <c r="F136" s="48"/>
      <c r="G136" s="49">
        <v>0.0</v>
      </c>
      <c r="H136" s="12"/>
      <c r="I136" s="12"/>
      <c r="J136" s="12"/>
      <c r="K136" s="12"/>
      <c r="L136" s="12"/>
      <c r="M136" s="50">
        <f t="shared" si="24"/>
        <v>0</v>
      </c>
      <c r="N136" s="10">
        <f t="shared" si="2"/>
        <v>0</v>
      </c>
      <c r="O136" s="10">
        <f t="shared" si="25"/>
        <v>0</v>
      </c>
      <c r="P136" s="10">
        <f t="shared" si="26"/>
        <v>0</v>
      </c>
      <c r="Q136" s="10">
        <f t="shared" si="5"/>
        <v>0</v>
      </c>
      <c r="R136" s="10">
        <f t="shared" si="27"/>
        <v>0</v>
      </c>
      <c r="S136" s="10">
        <f t="shared" si="7"/>
        <v>0</v>
      </c>
      <c r="T136" s="10">
        <f t="shared" si="8"/>
        <v>0</v>
      </c>
      <c r="U136" s="10">
        <f t="shared" si="9"/>
        <v>0</v>
      </c>
      <c r="V136" s="10">
        <f t="shared" si="28"/>
        <v>0</v>
      </c>
      <c r="W136" s="10">
        <f t="shared" si="11"/>
        <v>0</v>
      </c>
      <c r="X136" s="10">
        <f t="shared" si="12"/>
        <v>0</v>
      </c>
      <c r="Y136" s="10">
        <f t="shared" si="29"/>
        <v>0</v>
      </c>
      <c r="Z136" s="51">
        <f t="shared" si="14"/>
        <v>0</v>
      </c>
      <c r="AA136" s="52"/>
      <c r="AB136" s="15">
        <f t="shared" si="15"/>
        <v>0</v>
      </c>
      <c r="AC136" s="18"/>
    </row>
    <row r="137" ht="18.75" customHeight="1">
      <c r="A137" s="54" t="s">
        <v>382</v>
      </c>
      <c r="B137" s="54" t="s">
        <v>98</v>
      </c>
      <c r="C137" s="45" t="s">
        <v>329</v>
      </c>
      <c r="D137" s="46" t="s">
        <v>108</v>
      </c>
      <c r="E137" s="47" t="s">
        <v>387</v>
      </c>
      <c r="F137" s="48">
        <v>45132.0</v>
      </c>
      <c r="G137" s="49">
        <v>2400.0</v>
      </c>
      <c r="H137" s="12"/>
      <c r="I137" s="12"/>
      <c r="J137" s="12">
        <f t="shared" ref="J137:J138" si="35">G137*10%</f>
        <v>240</v>
      </c>
      <c r="K137" s="12"/>
      <c r="L137" s="12"/>
      <c r="M137" s="50">
        <f t="shared" si="24"/>
        <v>2640</v>
      </c>
      <c r="N137" s="10">
        <f t="shared" si="2"/>
        <v>528</v>
      </c>
      <c r="O137" s="10">
        <f t="shared" si="25"/>
        <v>24</v>
      </c>
      <c r="P137" s="10">
        <f t="shared" si="26"/>
        <v>36</v>
      </c>
      <c r="Q137" s="10">
        <f t="shared" si="5"/>
        <v>211.2</v>
      </c>
      <c r="R137" s="10">
        <f t="shared" si="27"/>
        <v>199.92</v>
      </c>
      <c r="S137" s="10">
        <f t="shared" si="7"/>
        <v>66.64</v>
      </c>
      <c r="T137" s="10">
        <f t="shared" si="8"/>
        <v>21.3248</v>
      </c>
      <c r="U137" s="10">
        <f t="shared" si="9"/>
        <v>53.312</v>
      </c>
      <c r="V137" s="10">
        <f t="shared" si="28"/>
        <v>199.92</v>
      </c>
      <c r="W137" s="10">
        <f t="shared" si="11"/>
        <v>15.9936</v>
      </c>
      <c r="X137" s="10">
        <f t="shared" si="12"/>
        <v>39.984</v>
      </c>
      <c r="Y137" s="10">
        <f t="shared" si="29"/>
        <v>76</v>
      </c>
      <c r="Z137" s="51">
        <f t="shared" si="14"/>
        <v>1472.2944</v>
      </c>
      <c r="AA137" s="52"/>
      <c r="AB137" s="15">
        <f t="shared" si="15"/>
        <v>4112.2944</v>
      </c>
      <c r="AC137" s="18"/>
    </row>
    <row r="138" ht="18.75" customHeight="1">
      <c r="A138" s="54" t="s">
        <v>382</v>
      </c>
      <c r="B138" s="54" t="s">
        <v>98</v>
      </c>
      <c r="C138" s="45" t="s">
        <v>329</v>
      </c>
      <c r="D138" s="46" t="s">
        <v>388</v>
      </c>
      <c r="E138" s="47" t="s">
        <v>389</v>
      </c>
      <c r="F138" s="48">
        <v>45833.0</v>
      </c>
      <c r="G138" s="49">
        <v>2190.0</v>
      </c>
      <c r="H138" s="12"/>
      <c r="I138" s="12"/>
      <c r="J138" s="12">
        <f t="shared" si="35"/>
        <v>219</v>
      </c>
      <c r="K138" s="12"/>
      <c r="L138" s="12"/>
      <c r="M138" s="50">
        <f t="shared" si="24"/>
        <v>2409</v>
      </c>
      <c r="N138" s="10">
        <f t="shared" si="2"/>
        <v>481.8</v>
      </c>
      <c r="O138" s="10">
        <f t="shared" si="25"/>
        <v>21.9</v>
      </c>
      <c r="P138" s="10">
        <f t="shared" si="26"/>
        <v>32.85</v>
      </c>
      <c r="Q138" s="10">
        <f t="shared" si="5"/>
        <v>192.72</v>
      </c>
      <c r="R138" s="10">
        <f t="shared" si="27"/>
        <v>182.427</v>
      </c>
      <c r="S138" s="10">
        <f t="shared" si="7"/>
        <v>60.809</v>
      </c>
      <c r="T138" s="10">
        <f t="shared" si="8"/>
        <v>19.45888</v>
      </c>
      <c r="U138" s="10">
        <f t="shared" si="9"/>
        <v>48.6472</v>
      </c>
      <c r="V138" s="10">
        <f t="shared" si="28"/>
        <v>182.427</v>
      </c>
      <c r="W138" s="10">
        <f t="shared" si="11"/>
        <v>14.59416</v>
      </c>
      <c r="X138" s="10">
        <f t="shared" si="12"/>
        <v>36.4854</v>
      </c>
      <c r="Y138" s="10">
        <f t="shared" si="29"/>
        <v>88.6</v>
      </c>
      <c r="Z138" s="51">
        <f t="shared" si="14"/>
        <v>1362.71864</v>
      </c>
      <c r="AA138" s="52"/>
      <c r="AB138" s="15">
        <f t="shared" si="15"/>
        <v>3771.71864</v>
      </c>
      <c r="AC138" s="18"/>
    </row>
    <row r="139" ht="18.75" customHeight="1">
      <c r="A139" s="54" t="s">
        <v>266</v>
      </c>
      <c r="B139" s="54" t="s">
        <v>84</v>
      </c>
      <c r="C139" s="45" t="s">
        <v>356</v>
      </c>
      <c r="D139" s="46" t="s">
        <v>86</v>
      </c>
      <c r="E139" s="47" t="s">
        <v>390</v>
      </c>
      <c r="F139" s="48">
        <v>45489.0</v>
      </c>
      <c r="G139" s="49">
        <v>2703.0</v>
      </c>
      <c r="H139" s="12">
        <f>G139*40%</f>
        <v>1081.2</v>
      </c>
      <c r="I139" s="12"/>
      <c r="J139" s="12"/>
      <c r="K139" s="12"/>
      <c r="L139" s="12"/>
      <c r="M139" s="50">
        <f t="shared" si="24"/>
        <v>3784.2</v>
      </c>
      <c r="N139" s="10">
        <f t="shared" si="2"/>
        <v>756.84</v>
      </c>
      <c r="O139" s="10">
        <f t="shared" si="25"/>
        <v>27.03</v>
      </c>
      <c r="P139" s="10">
        <f t="shared" si="26"/>
        <v>40.545</v>
      </c>
      <c r="Q139" s="10">
        <f t="shared" si="5"/>
        <v>302.736</v>
      </c>
      <c r="R139" s="10">
        <f t="shared" si="27"/>
        <v>225.1599</v>
      </c>
      <c r="S139" s="10">
        <f t="shared" si="7"/>
        <v>75.0533</v>
      </c>
      <c r="T139" s="10">
        <f t="shared" si="8"/>
        <v>24.017056</v>
      </c>
      <c r="U139" s="10">
        <f t="shared" si="9"/>
        <v>60.04264</v>
      </c>
      <c r="V139" s="10">
        <f t="shared" si="28"/>
        <v>225.1599</v>
      </c>
      <c r="W139" s="10">
        <f t="shared" si="11"/>
        <v>18.012792</v>
      </c>
      <c r="X139" s="10">
        <f t="shared" si="12"/>
        <v>45.03198</v>
      </c>
      <c r="Y139" s="10">
        <f t="shared" si="29"/>
        <v>57.82</v>
      </c>
      <c r="Z139" s="51">
        <f t="shared" si="14"/>
        <v>1857.448568</v>
      </c>
      <c r="AA139" s="52"/>
      <c r="AB139" s="15">
        <f t="shared" si="15"/>
        <v>5641.648568</v>
      </c>
      <c r="AC139" s="18"/>
    </row>
    <row r="140" ht="18.75" customHeight="1">
      <c r="A140" s="54" t="s">
        <v>266</v>
      </c>
      <c r="B140" s="54" t="s">
        <v>84</v>
      </c>
      <c r="C140" s="45" t="s">
        <v>350</v>
      </c>
      <c r="D140" s="46" t="s">
        <v>90</v>
      </c>
      <c r="E140" s="47" t="s">
        <v>391</v>
      </c>
      <c r="F140" s="48">
        <v>43503.0</v>
      </c>
      <c r="G140" s="49">
        <v>2572.0</v>
      </c>
      <c r="H140" s="12"/>
      <c r="I140" s="12"/>
      <c r="J140" s="12"/>
      <c r="K140" s="12"/>
      <c r="L140" s="12">
        <f>G140*2%</f>
        <v>51.44</v>
      </c>
      <c r="M140" s="50">
        <f t="shared" si="24"/>
        <v>2623.44</v>
      </c>
      <c r="N140" s="10">
        <f t="shared" si="2"/>
        <v>524.688</v>
      </c>
      <c r="O140" s="10">
        <f t="shared" si="25"/>
        <v>25.72</v>
      </c>
      <c r="P140" s="10">
        <f t="shared" si="26"/>
        <v>38.58</v>
      </c>
      <c r="Q140" s="10">
        <f t="shared" si="5"/>
        <v>209.8752</v>
      </c>
      <c r="R140" s="10">
        <f t="shared" si="27"/>
        <v>214.2476</v>
      </c>
      <c r="S140" s="10">
        <f t="shared" si="7"/>
        <v>71.41586667</v>
      </c>
      <c r="T140" s="10">
        <f t="shared" si="8"/>
        <v>22.85307733</v>
      </c>
      <c r="U140" s="10">
        <f t="shared" si="9"/>
        <v>57.13269333</v>
      </c>
      <c r="V140" s="10">
        <f t="shared" si="28"/>
        <v>214.2476</v>
      </c>
      <c r="W140" s="10">
        <f t="shared" si="11"/>
        <v>17.139808</v>
      </c>
      <c r="X140" s="10">
        <f t="shared" si="12"/>
        <v>42.84952</v>
      </c>
      <c r="Y140" s="10">
        <f t="shared" si="29"/>
        <v>65.68</v>
      </c>
      <c r="Z140" s="51">
        <f t="shared" si="14"/>
        <v>1504.429365</v>
      </c>
      <c r="AA140" s="52"/>
      <c r="AB140" s="15">
        <f t="shared" si="15"/>
        <v>4127.869365</v>
      </c>
      <c r="AC140" s="18"/>
    </row>
    <row r="141" ht="18.75" customHeight="1">
      <c r="A141" s="54" t="s">
        <v>266</v>
      </c>
      <c r="B141" s="54" t="s">
        <v>84</v>
      </c>
      <c r="C141" s="45" t="s">
        <v>329</v>
      </c>
      <c r="D141" s="46" t="s">
        <v>392</v>
      </c>
      <c r="E141" s="47" t="s">
        <v>393</v>
      </c>
      <c r="F141" s="48">
        <v>45850.0</v>
      </c>
      <c r="G141" s="49">
        <v>2290.0</v>
      </c>
      <c r="H141" s="12"/>
      <c r="I141" s="12"/>
      <c r="J141" s="12"/>
      <c r="K141" s="12"/>
      <c r="L141" s="12"/>
      <c r="M141" s="50">
        <f t="shared" si="24"/>
        <v>2290</v>
      </c>
      <c r="N141" s="10">
        <f t="shared" si="2"/>
        <v>458</v>
      </c>
      <c r="O141" s="10">
        <f t="shared" si="25"/>
        <v>22.9</v>
      </c>
      <c r="P141" s="10">
        <f t="shared" si="26"/>
        <v>34.35</v>
      </c>
      <c r="Q141" s="10">
        <f t="shared" si="5"/>
        <v>183.2</v>
      </c>
      <c r="R141" s="10">
        <f t="shared" si="27"/>
        <v>190.757</v>
      </c>
      <c r="S141" s="10">
        <f t="shared" si="7"/>
        <v>63.58566667</v>
      </c>
      <c r="T141" s="10">
        <f t="shared" si="8"/>
        <v>20.34741333</v>
      </c>
      <c r="U141" s="10">
        <f t="shared" si="9"/>
        <v>50.86853333</v>
      </c>
      <c r="V141" s="10">
        <f t="shared" si="28"/>
        <v>190.757</v>
      </c>
      <c r="W141" s="10">
        <f t="shared" si="11"/>
        <v>15.26056</v>
      </c>
      <c r="X141" s="10">
        <f t="shared" si="12"/>
        <v>38.1514</v>
      </c>
      <c r="Y141" s="10">
        <f t="shared" si="29"/>
        <v>82.6</v>
      </c>
      <c r="Z141" s="51">
        <f t="shared" si="14"/>
        <v>1350.777573</v>
      </c>
      <c r="AA141" s="52"/>
      <c r="AB141" s="15">
        <f t="shared" si="15"/>
        <v>3640.777573</v>
      </c>
      <c r="AC141" s="18"/>
    </row>
    <row r="142" ht="18.75" customHeight="1">
      <c r="A142" s="54" t="s">
        <v>266</v>
      </c>
      <c r="B142" s="54" t="s">
        <v>84</v>
      </c>
      <c r="C142" s="45" t="s">
        <v>394</v>
      </c>
      <c r="D142" s="46" t="s">
        <v>88</v>
      </c>
      <c r="E142" s="47" t="s">
        <v>395</v>
      </c>
      <c r="F142" s="48">
        <v>42394.0</v>
      </c>
      <c r="G142" s="49">
        <v>2487.0</v>
      </c>
      <c r="H142" s="12"/>
      <c r="I142" s="12"/>
      <c r="J142" s="12"/>
      <c r="K142" s="12"/>
      <c r="L142" s="12">
        <f>G142*2%</f>
        <v>49.74</v>
      </c>
      <c r="M142" s="50">
        <f t="shared" si="24"/>
        <v>2536.74</v>
      </c>
      <c r="N142" s="10">
        <f t="shared" si="2"/>
        <v>507.348</v>
      </c>
      <c r="O142" s="10">
        <f t="shared" si="25"/>
        <v>24.87</v>
      </c>
      <c r="P142" s="10">
        <f t="shared" si="26"/>
        <v>37.305</v>
      </c>
      <c r="Q142" s="10">
        <f t="shared" si="5"/>
        <v>202.9392</v>
      </c>
      <c r="R142" s="10">
        <f t="shared" si="27"/>
        <v>207.1671</v>
      </c>
      <c r="S142" s="10">
        <f t="shared" si="7"/>
        <v>69.0557</v>
      </c>
      <c r="T142" s="10">
        <f t="shared" si="8"/>
        <v>22.097824</v>
      </c>
      <c r="U142" s="10">
        <f t="shared" si="9"/>
        <v>55.24456</v>
      </c>
      <c r="V142" s="10">
        <f t="shared" si="28"/>
        <v>207.1671</v>
      </c>
      <c r="W142" s="10">
        <f t="shared" si="11"/>
        <v>16.573368</v>
      </c>
      <c r="X142" s="10">
        <f t="shared" si="12"/>
        <v>41.43342</v>
      </c>
      <c r="Y142" s="10">
        <f t="shared" si="29"/>
        <v>70.78</v>
      </c>
      <c r="Z142" s="51">
        <f t="shared" si="14"/>
        <v>1461.981272</v>
      </c>
      <c r="AA142" s="52"/>
      <c r="AB142" s="15">
        <f t="shared" si="15"/>
        <v>3998.721272</v>
      </c>
      <c r="AC142" s="18"/>
    </row>
    <row r="143" ht="18.75" customHeight="1">
      <c r="A143" s="54" t="s">
        <v>266</v>
      </c>
      <c r="B143" s="54" t="s">
        <v>84</v>
      </c>
      <c r="C143" s="45" t="s">
        <v>356</v>
      </c>
      <c r="D143" s="46" t="s">
        <v>93</v>
      </c>
      <c r="E143" s="47" t="s">
        <v>393</v>
      </c>
      <c r="F143" s="48">
        <v>45689.0</v>
      </c>
      <c r="G143" s="49">
        <v>2290.0</v>
      </c>
      <c r="H143" s="12"/>
      <c r="I143" s="12"/>
      <c r="J143" s="12"/>
      <c r="K143" s="12"/>
      <c r="L143" s="12"/>
      <c r="M143" s="50">
        <f t="shared" si="24"/>
        <v>2290</v>
      </c>
      <c r="N143" s="10">
        <f t="shared" si="2"/>
        <v>458</v>
      </c>
      <c r="O143" s="10">
        <f t="shared" si="25"/>
        <v>22.9</v>
      </c>
      <c r="P143" s="10">
        <f t="shared" si="26"/>
        <v>34.35</v>
      </c>
      <c r="Q143" s="10">
        <f t="shared" si="5"/>
        <v>183.2</v>
      </c>
      <c r="R143" s="10">
        <f t="shared" si="27"/>
        <v>190.757</v>
      </c>
      <c r="S143" s="10">
        <f t="shared" si="7"/>
        <v>63.58566667</v>
      </c>
      <c r="T143" s="10">
        <f t="shared" si="8"/>
        <v>20.34741333</v>
      </c>
      <c r="U143" s="10">
        <f t="shared" si="9"/>
        <v>50.86853333</v>
      </c>
      <c r="V143" s="10">
        <f t="shared" si="28"/>
        <v>190.757</v>
      </c>
      <c r="W143" s="10">
        <f t="shared" si="11"/>
        <v>15.26056</v>
      </c>
      <c r="X143" s="10">
        <f t="shared" si="12"/>
        <v>38.1514</v>
      </c>
      <c r="Y143" s="10">
        <f t="shared" si="29"/>
        <v>82.6</v>
      </c>
      <c r="Z143" s="51">
        <f t="shared" si="14"/>
        <v>1350.777573</v>
      </c>
      <c r="AA143" s="52"/>
      <c r="AB143" s="15">
        <f t="shared" si="15"/>
        <v>3640.777573</v>
      </c>
      <c r="AC143" s="18"/>
    </row>
    <row r="144" ht="18.75" customHeight="1">
      <c r="A144" s="54" t="s">
        <v>266</v>
      </c>
      <c r="B144" s="54" t="s">
        <v>84</v>
      </c>
      <c r="C144" s="45" t="s">
        <v>351</v>
      </c>
      <c r="D144" s="46" t="s">
        <v>396</v>
      </c>
      <c r="E144" s="47" t="s">
        <v>393</v>
      </c>
      <c r="F144" s="48">
        <v>46034.0</v>
      </c>
      <c r="G144" s="49">
        <v>2290.0</v>
      </c>
      <c r="H144" s="12"/>
      <c r="I144" s="12"/>
      <c r="J144" s="12"/>
      <c r="K144" s="12"/>
      <c r="L144" s="12"/>
      <c r="M144" s="50">
        <f t="shared" si="24"/>
        <v>2290</v>
      </c>
      <c r="N144" s="10">
        <f t="shared" si="2"/>
        <v>458</v>
      </c>
      <c r="O144" s="10">
        <f t="shared" si="25"/>
        <v>22.9</v>
      </c>
      <c r="P144" s="10">
        <f t="shared" si="26"/>
        <v>34.35</v>
      </c>
      <c r="Q144" s="10">
        <f t="shared" si="5"/>
        <v>183.2</v>
      </c>
      <c r="R144" s="10">
        <f t="shared" si="27"/>
        <v>190.757</v>
      </c>
      <c r="S144" s="10">
        <f t="shared" si="7"/>
        <v>63.58566667</v>
      </c>
      <c r="T144" s="10">
        <f t="shared" si="8"/>
        <v>20.34741333</v>
      </c>
      <c r="U144" s="10">
        <f t="shared" si="9"/>
        <v>50.86853333</v>
      </c>
      <c r="V144" s="10">
        <f t="shared" si="28"/>
        <v>190.757</v>
      </c>
      <c r="W144" s="10">
        <f t="shared" si="11"/>
        <v>15.26056</v>
      </c>
      <c r="X144" s="10">
        <f t="shared" si="12"/>
        <v>38.1514</v>
      </c>
      <c r="Y144" s="10">
        <f t="shared" si="29"/>
        <v>82.6</v>
      </c>
      <c r="Z144" s="51">
        <f t="shared" si="14"/>
        <v>1350.777573</v>
      </c>
      <c r="AA144" s="52"/>
      <c r="AB144" s="15">
        <f t="shared" si="15"/>
        <v>3640.777573</v>
      </c>
      <c r="AC144" s="18"/>
    </row>
    <row r="145" ht="18.75" customHeight="1">
      <c r="A145" s="54" t="s">
        <v>382</v>
      </c>
      <c r="B145" s="54" t="s">
        <v>222</v>
      </c>
      <c r="C145" s="45" t="s">
        <v>329</v>
      </c>
      <c r="D145" s="46" t="s">
        <v>228</v>
      </c>
      <c r="E145" s="47" t="s">
        <v>397</v>
      </c>
      <c r="F145" s="48">
        <v>45566.0</v>
      </c>
      <c r="G145" s="49">
        <v>2190.0</v>
      </c>
      <c r="H145" s="12"/>
      <c r="I145" s="12"/>
      <c r="J145" s="12"/>
      <c r="K145" s="12"/>
      <c r="L145" s="12"/>
      <c r="M145" s="50">
        <f t="shared" si="24"/>
        <v>2190</v>
      </c>
      <c r="N145" s="10">
        <f t="shared" si="2"/>
        <v>438</v>
      </c>
      <c r="O145" s="10">
        <f t="shared" si="25"/>
        <v>21.9</v>
      </c>
      <c r="P145" s="10">
        <f t="shared" si="26"/>
        <v>32.85</v>
      </c>
      <c r="Q145" s="10">
        <f t="shared" si="5"/>
        <v>175.2</v>
      </c>
      <c r="R145" s="10">
        <f t="shared" si="27"/>
        <v>182.427</v>
      </c>
      <c r="S145" s="10">
        <f t="shared" si="7"/>
        <v>60.809</v>
      </c>
      <c r="T145" s="10">
        <f t="shared" si="8"/>
        <v>19.45888</v>
      </c>
      <c r="U145" s="10">
        <f t="shared" si="9"/>
        <v>48.6472</v>
      </c>
      <c r="V145" s="10">
        <f t="shared" si="28"/>
        <v>182.427</v>
      </c>
      <c r="W145" s="10">
        <f t="shared" si="11"/>
        <v>14.59416</v>
      </c>
      <c r="X145" s="10">
        <f t="shared" si="12"/>
        <v>36.4854</v>
      </c>
      <c r="Y145" s="10">
        <f t="shared" si="29"/>
        <v>88.6</v>
      </c>
      <c r="Z145" s="51">
        <f t="shared" si="14"/>
        <v>1301.39864</v>
      </c>
      <c r="AA145" s="57">
        <v>1113.0</v>
      </c>
      <c r="AB145" s="15">
        <f t="shared" si="15"/>
        <v>4604.39864</v>
      </c>
      <c r="AC145" s="18"/>
    </row>
    <row r="146" ht="18.75" customHeight="1">
      <c r="A146" s="54" t="s">
        <v>382</v>
      </c>
      <c r="B146" s="54" t="s">
        <v>222</v>
      </c>
      <c r="C146" s="45" t="s">
        <v>329</v>
      </c>
      <c r="D146" s="46" t="s">
        <v>398</v>
      </c>
      <c r="E146" s="47" t="s">
        <v>397</v>
      </c>
      <c r="F146" s="48">
        <v>45791.0</v>
      </c>
      <c r="G146" s="49">
        <v>2190.0</v>
      </c>
      <c r="H146" s="12"/>
      <c r="I146" s="12"/>
      <c r="J146" s="12"/>
      <c r="K146" s="12"/>
      <c r="L146" s="12"/>
      <c r="M146" s="50">
        <f t="shared" si="24"/>
        <v>2190</v>
      </c>
      <c r="N146" s="10">
        <f t="shared" si="2"/>
        <v>438</v>
      </c>
      <c r="O146" s="10">
        <f t="shared" si="25"/>
        <v>21.9</v>
      </c>
      <c r="P146" s="10">
        <f t="shared" si="26"/>
        <v>32.85</v>
      </c>
      <c r="Q146" s="10">
        <f t="shared" si="5"/>
        <v>175.2</v>
      </c>
      <c r="R146" s="10">
        <f t="shared" si="27"/>
        <v>182.427</v>
      </c>
      <c r="S146" s="10">
        <f t="shared" si="7"/>
        <v>60.809</v>
      </c>
      <c r="T146" s="10">
        <f t="shared" si="8"/>
        <v>19.45888</v>
      </c>
      <c r="U146" s="10">
        <f t="shared" si="9"/>
        <v>48.6472</v>
      </c>
      <c r="V146" s="10">
        <f t="shared" si="28"/>
        <v>182.427</v>
      </c>
      <c r="W146" s="10">
        <f t="shared" si="11"/>
        <v>14.59416</v>
      </c>
      <c r="X146" s="10">
        <f t="shared" si="12"/>
        <v>36.4854</v>
      </c>
      <c r="Y146" s="10">
        <f t="shared" si="29"/>
        <v>88.6</v>
      </c>
      <c r="Z146" s="51">
        <f t="shared" si="14"/>
        <v>1301.39864</v>
      </c>
      <c r="AA146" s="57">
        <v>1113.0</v>
      </c>
      <c r="AB146" s="15">
        <f t="shared" si="15"/>
        <v>4604.39864</v>
      </c>
      <c r="AC146" s="18"/>
    </row>
    <row r="147" ht="18.75" customHeight="1">
      <c r="A147" s="54" t="s">
        <v>382</v>
      </c>
      <c r="B147" s="54" t="s">
        <v>222</v>
      </c>
      <c r="C147" s="45" t="s">
        <v>329</v>
      </c>
      <c r="D147" s="46" t="s">
        <v>226</v>
      </c>
      <c r="E147" s="47" t="s">
        <v>397</v>
      </c>
      <c r="F147" s="48">
        <v>45447.0</v>
      </c>
      <c r="G147" s="49">
        <v>2190.0</v>
      </c>
      <c r="H147" s="12"/>
      <c r="I147" s="12"/>
      <c r="J147" s="12"/>
      <c r="K147" s="12"/>
      <c r="L147" s="12"/>
      <c r="M147" s="50">
        <f t="shared" si="24"/>
        <v>2190</v>
      </c>
      <c r="N147" s="10">
        <f t="shared" si="2"/>
        <v>438</v>
      </c>
      <c r="O147" s="10">
        <f t="shared" si="25"/>
        <v>21.9</v>
      </c>
      <c r="P147" s="10">
        <f t="shared" si="26"/>
        <v>32.85</v>
      </c>
      <c r="Q147" s="10">
        <f t="shared" si="5"/>
        <v>175.2</v>
      </c>
      <c r="R147" s="10">
        <f t="shared" si="27"/>
        <v>182.427</v>
      </c>
      <c r="S147" s="10">
        <f t="shared" si="7"/>
        <v>60.809</v>
      </c>
      <c r="T147" s="10">
        <f t="shared" si="8"/>
        <v>19.45888</v>
      </c>
      <c r="U147" s="10">
        <f t="shared" si="9"/>
        <v>48.6472</v>
      </c>
      <c r="V147" s="10">
        <f t="shared" si="28"/>
        <v>182.427</v>
      </c>
      <c r="W147" s="10">
        <f t="shared" si="11"/>
        <v>14.59416</v>
      </c>
      <c r="X147" s="10">
        <f t="shared" si="12"/>
        <v>36.4854</v>
      </c>
      <c r="Y147" s="10">
        <f t="shared" si="29"/>
        <v>88.6</v>
      </c>
      <c r="Z147" s="51">
        <f t="shared" si="14"/>
        <v>1301.39864</v>
      </c>
      <c r="AA147" s="57">
        <v>1113.0</v>
      </c>
      <c r="AB147" s="15">
        <f t="shared" si="15"/>
        <v>4604.39864</v>
      </c>
      <c r="AC147" s="18"/>
    </row>
    <row r="148" ht="18.75" customHeight="1">
      <c r="A148" s="54" t="s">
        <v>382</v>
      </c>
      <c r="B148" s="54" t="s">
        <v>222</v>
      </c>
      <c r="C148" s="45" t="s">
        <v>329</v>
      </c>
      <c r="D148" s="46" t="s">
        <v>229</v>
      </c>
      <c r="E148" s="47" t="s">
        <v>399</v>
      </c>
      <c r="F148" s="48">
        <v>45658.0</v>
      </c>
      <c r="G148" s="49">
        <v>2190.0</v>
      </c>
      <c r="H148" s="12"/>
      <c r="I148" s="12"/>
      <c r="J148" s="12"/>
      <c r="K148" s="12"/>
      <c r="L148" s="12"/>
      <c r="M148" s="50">
        <f t="shared" si="24"/>
        <v>2190</v>
      </c>
      <c r="N148" s="10">
        <f t="shared" si="2"/>
        <v>438</v>
      </c>
      <c r="O148" s="10">
        <f t="shared" si="25"/>
        <v>21.9</v>
      </c>
      <c r="P148" s="10">
        <f t="shared" si="26"/>
        <v>32.85</v>
      </c>
      <c r="Q148" s="10">
        <f t="shared" si="5"/>
        <v>175.2</v>
      </c>
      <c r="R148" s="10">
        <f t="shared" si="27"/>
        <v>182.427</v>
      </c>
      <c r="S148" s="10">
        <f t="shared" si="7"/>
        <v>60.809</v>
      </c>
      <c r="T148" s="10">
        <f t="shared" si="8"/>
        <v>19.45888</v>
      </c>
      <c r="U148" s="10">
        <f t="shared" si="9"/>
        <v>48.6472</v>
      </c>
      <c r="V148" s="10">
        <f t="shared" si="28"/>
        <v>182.427</v>
      </c>
      <c r="W148" s="10">
        <f t="shared" si="11"/>
        <v>14.59416</v>
      </c>
      <c r="X148" s="10">
        <f t="shared" si="12"/>
        <v>36.4854</v>
      </c>
      <c r="Y148" s="10">
        <f t="shared" si="29"/>
        <v>88.6</v>
      </c>
      <c r="Z148" s="51">
        <f t="shared" si="14"/>
        <v>1301.39864</v>
      </c>
      <c r="AA148" s="57">
        <v>1113.0</v>
      </c>
      <c r="AB148" s="15">
        <f t="shared" si="15"/>
        <v>4604.39864</v>
      </c>
      <c r="AC148" s="18"/>
    </row>
    <row r="149" ht="18.75" customHeight="1">
      <c r="A149" s="54" t="s">
        <v>382</v>
      </c>
      <c r="B149" s="54" t="s">
        <v>222</v>
      </c>
      <c r="C149" s="60" t="s">
        <v>386</v>
      </c>
      <c r="D149" s="46"/>
      <c r="E149" s="47" t="s">
        <v>399</v>
      </c>
      <c r="F149" s="48"/>
      <c r="G149" s="49">
        <v>0.0</v>
      </c>
      <c r="H149" s="12"/>
      <c r="I149" s="12"/>
      <c r="J149" s="12"/>
      <c r="K149" s="12"/>
      <c r="L149" s="12"/>
      <c r="M149" s="50">
        <f t="shared" si="24"/>
        <v>0</v>
      </c>
      <c r="N149" s="10">
        <f t="shared" si="2"/>
        <v>0</v>
      </c>
      <c r="O149" s="10">
        <f t="shared" si="25"/>
        <v>0</v>
      </c>
      <c r="P149" s="10">
        <f t="shared" si="26"/>
        <v>0</v>
      </c>
      <c r="Q149" s="10">
        <f t="shared" si="5"/>
        <v>0</v>
      </c>
      <c r="R149" s="10">
        <f t="shared" si="27"/>
        <v>0</v>
      </c>
      <c r="S149" s="10">
        <f t="shared" si="7"/>
        <v>0</v>
      </c>
      <c r="T149" s="10">
        <f t="shared" si="8"/>
        <v>0</v>
      </c>
      <c r="U149" s="10">
        <f t="shared" si="9"/>
        <v>0</v>
      </c>
      <c r="V149" s="10">
        <f t="shared" si="28"/>
        <v>0</v>
      </c>
      <c r="W149" s="10">
        <f t="shared" si="11"/>
        <v>0</v>
      </c>
      <c r="X149" s="10">
        <f t="shared" si="12"/>
        <v>0</v>
      </c>
      <c r="Y149" s="10">
        <f t="shared" si="29"/>
        <v>0</v>
      </c>
      <c r="Z149" s="51">
        <f t="shared" si="14"/>
        <v>0</v>
      </c>
      <c r="AA149" s="52"/>
      <c r="AB149" s="15">
        <f t="shared" si="15"/>
        <v>0</v>
      </c>
      <c r="AC149" s="18"/>
    </row>
    <row r="150" ht="18.75" customHeight="1">
      <c r="A150" s="54" t="s">
        <v>400</v>
      </c>
      <c r="B150" s="54" t="s">
        <v>252</v>
      </c>
      <c r="C150" s="45" t="s">
        <v>329</v>
      </c>
      <c r="D150" s="46" t="s">
        <v>251</v>
      </c>
      <c r="E150" s="47" t="s">
        <v>401</v>
      </c>
      <c r="F150" s="48">
        <v>45451.0</v>
      </c>
      <c r="G150" s="49">
        <v>3880.0</v>
      </c>
      <c r="H150" s="12">
        <f>G150*40%</f>
        <v>1552</v>
      </c>
      <c r="I150" s="12"/>
      <c r="J150" s="12">
        <f>G150*20%</f>
        <v>776</v>
      </c>
      <c r="K150" s="12"/>
      <c r="L150" s="12"/>
      <c r="M150" s="50">
        <f t="shared" si="24"/>
        <v>6208</v>
      </c>
      <c r="N150" s="10">
        <f t="shared" si="2"/>
        <v>1241.6</v>
      </c>
      <c r="O150" s="10">
        <f t="shared" si="25"/>
        <v>38.8</v>
      </c>
      <c r="P150" s="10">
        <f t="shared" si="26"/>
        <v>58.2</v>
      </c>
      <c r="Q150" s="10">
        <f t="shared" si="5"/>
        <v>496.64</v>
      </c>
      <c r="R150" s="10">
        <f t="shared" si="27"/>
        <v>323.204</v>
      </c>
      <c r="S150" s="10">
        <f t="shared" si="7"/>
        <v>107.7346667</v>
      </c>
      <c r="T150" s="10">
        <f t="shared" si="8"/>
        <v>34.47509333</v>
      </c>
      <c r="U150" s="10">
        <f t="shared" si="9"/>
        <v>86.18773333</v>
      </c>
      <c r="V150" s="10">
        <f t="shared" si="28"/>
        <v>323.204</v>
      </c>
      <c r="W150" s="10">
        <f t="shared" si="11"/>
        <v>25.85632</v>
      </c>
      <c r="X150" s="10">
        <f t="shared" si="12"/>
        <v>64.6408</v>
      </c>
      <c r="Y150" s="10">
        <f t="shared" si="29"/>
        <v>-12.8</v>
      </c>
      <c r="Z150" s="51">
        <f t="shared" si="14"/>
        <v>2787.742613</v>
      </c>
      <c r="AA150" s="57">
        <v>4287.55</v>
      </c>
      <c r="AB150" s="15">
        <f t="shared" si="15"/>
        <v>13283.29261</v>
      </c>
      <c r="AC150" s="18"/>
    </row>
    <row r="151" ht="18.75" customHeight="1">
      <c r="A151" s="54" t="s">
        <v>400</v>
      </c>
      <c r="B151" s="54" t="s">
        <v>252</v>
      </c>
      <c r="C151" s="45" t="s">
        <v>329</v>
      </c>
      <c r="D151" s="46" t="s">
        <v>254</v>
      </c>
      <c r="E151" s="47" t="s">
        <v>402</v>
      </c>
      <c r="F151" s="48">
        <v>45615.0</v>
      </c>
      <c r="G151" s="49">
        <v>3065.0</v>
      </c>
      <c r="H151" s="12"/>
      <c r="I151" s="12"/>
      <c r="J151" s="12"/>
      <c r="K151" s="12"/>
      <c r="L151" s="12"/>
      <c r="M151" s="50">
        <f t="shared" si="24"/>
        <v>3065</v>
      </c>
      <c r="N151" s="10">
        <f t="shared" si="2"/>
        <v>613</v>
      </c>
      <c r="O151" s="10">
        <f t="shared" si="25"/>
        <v>30.65</v>
      </c>
      <c r="P151" s="10">
        <f t="shared" si="26"/>
        <v>45.975</v>
      </c>
      <c r="Q151" s="10">
        <f t="shared" si="5"/>
        <v>245.2</v>
      </c>
      <c r="R151" s="10">
        <f t="shared" si="27"/>
        <v>255.3145</v>
      </c>
      <c r="S151" s="10">
        <f t="shared" si="7"/>
        <v>85.10483333</v>
      </c>
      <c r="T151" s="10">
        <f t="shared" si="8"/>
        <v>27.23354667</v>
      </c>
      <c r="U151" s="10">
        <f t="shared" si="9"/>
        <v>68.08386667</v>
      </c>
      <c r="V151" s="10">
        <f t="shared" si="28"/>
        <v>255.3145</v>
      </c>
      <c r="W151" s="10">
        <f t="shared" si="11"/>
        <v>20.42516</v>
      </c>
      <c r="X151" s="10">
        <f t="shared" si="12"/>
        <v>51.0629</v>
      </c>
      <c r="Y151" s="10">
        <f t="shared" si="29"/>
        <v>36.1</v>
      </c>
      <c r="Z151" s="51">
        <f t="shared" si="14"/>
        <v>1733.464307</v>
      </c>
      <c r="AA151" s="52"/>
      <c r="AB151" s="15">
        <f t="shared" si="15"/>
        <v>4798.464307</v>
      </c>
      <c r="AC151" s="18"/>
    </row>
    <row r="152" ht="18.75" customHeight="1">
      <c r="A152" s="54" t="s">
        <v>400</v>
      </c>
      <c r="B152" s="54" t="s">
        <v>252</v>
      </c>
      <c r="C152" s="45" t="s">
        <v>403</v>
      </c>
      <c r="D152" s="46" t="s">
        <v>404</v>
      </c>
      <c r="E152" s="47" t="s">
        <v>405</v>
      </c>
      <c r="F152" s="48">
        <v>45839.0</v>
      </c>
      <c r="G152" s="49">
        <v>16.25</v>
      </c>
      <c r="H152" s="12"/>
      <c r="I152" s="12"/>
      <c r="J152" s="12"/>
      <c r="K152" s="12"/>
      <c r="L152" s="12"/>
      <c r="M152" s="50">
        <f t="shared" si="24"/>
        <v>16.25</v>
      </c>
      <c r="N152" s="10">
        <f t="shared" si="2"/>
        <v>3.25</v>
      </c>
      <c r="O152" s="10">
        <f t="shared" si="25"/>
        <v>0.1625</v>
      </c>
      <c r="P152" s="10">
        <f t="shared" si="26"/>
        <v>0.24375</v>
      </c>
      <c r="Q152" s="10">
        <f t="shared" si="5"/>
        <v>1.3</v>
      </c>
      <c r="R152" s="10">
        <f t="shared" si="27"/>
        <v>1.353625</v>
      </c>
      <c r="S152" s="10">
        <f t="shared" si="7"/>
        <v>0.4512083333</v>
      </c>
      <c r="T152" s="10">
        <f t="shared" si="8"/>
        <v>0.1443866667</v>
      </c>
      <c r="U152" s="10">
        <f t="shared" si="9"/>
        <v>0.3609666667</v>
      </c>
      <c r="V152" s="10">
        <f t="shared" si="28"/>
        <v>1.353625</v>
      </c>
      <c r="W152" s="10">
        <f t="shared" si="11"/>
        <v>0.10829</v>
      </c>
      <c r="X152" s="10">
        <f t="shared" si="12"/>
        <v>0.270725</v>
      </c>
      <c r="Y152" s="10">
        <f t="shared" si="29"/>
        <v>219.025</v>
      </c>
      <c r="Z152" s="51">
        <f t="shared" si="14"/>
        <v>228.0240767</v>
      </c>
      <c r="AA152" s="52"/>
      <c r="AB152" s="15">
        <f t="shared" si="15"/>
        <v>244.2740767</v>
      </c>
      <c r="AC152" s="18"/>
    </row>
    <row r="153" ht="18.75" customHeight="1">
      <c r="A153" s="54" t="s">
        <v>400</v>
      </c>
      <c r="B153" s="54" t="s">
        <v>252</v>
      </c>
      <c r="C153" s="45" t="s">
        <v>329</v>
      </c>
      <c r="D153" s="46" t="s">
        <v>258</v>
      </c>
      <c r="E153" s="47" t="s">
        <v>406</v>
      </c>
      <c r="F153" s="48">
        <v>45812.0</v>
      </c>
      <c r="G153" s="49">
        <v>2250.0</v>
      </c>
      <c r="H153" s="12"/>
      <c r="I153" s="12"/>
      <c r="J153" s="12"/>
      <c r="K153" s="12"/>
      <c r="L153" s="12"/>
      <c r="M153" s="50">
        <f t="shared" si="24"/>
        <v>2250</v>
      </c>
      <c r="N153" s="10">
        <f t="shared" si="2"/>
        <v>450</v>
      </c>
      <c r="O153" s="10">
        <f t="shared" si="25"/>
        <v>22.5</v>
      </c>
      <c r="P153" s="10">
        <f t="shared" si="26"/>
        <v>33.75</v>
      </c>
      <c r="Q153" s="10">
        <f t="shared" si="5"/>
        <v>180</v>
      </c>
      <c r="R153" s="10">
        <f t="shared" si="27"/>
        <v>187.425</v>
      </c>
      <c r="S153" s="10">
        <f t="shared" si="7"/>
        <v>62.475</v>
      </c>
      <c r="T153" s="10">
        <f t="shared" si="8"/>
        <v>19.992</v>
      </c>
      <c r="U153" s="10">
        <f t="shared" si="9"/>
        <v>49.98</v>
      </c>
      <c r="V153" s="10">
        <f t="shared" si="28"/>
        <v>187.425</v>
      </c>
      <c r="W153" s="10">
        <f t="shared" si="11"/>
        <v>14.994</v>
      </c>
      <c r="X153" s="10">
        <f t="shared" si="12"/>
        <v>37.485</v>
      </c>
      <c r="Y153" s="10">
        <f t="shared" si="29"/>
        <v>85</v>
      </c>
      <c r="Z153" s="51">
        <f t="shared" si="14"/>
        <v>1331.026</v>
      </c>
      <c r="AA153" s="52"/>
      <c r="AB153" s="15">
        <f t="shared" si="15"/>
        <v>3581.026</v>
      </c>
      <c r="AC153" s="18"/>
    </row>
    <row r="154" ht="18.75" customHeight="1">
      <c r="A154" s="54" t="s">
        <v>400</v>
      </c>
      <c r="B154" s="54" t="s">
        <v>252</v>
      </c>
      <c r="C154" s="45" t="s">
        <v>329</v>
      </c>
      <c r="D154" s="46" t="s">
        <v>256</v>
      </c>
      <c r="E154" s="47" t="s">
        <v>407</v>
      </c>
      <c r="F154" s="48">
        <v>45455.0</v>
      </c>
      <c r="G154" s="49">
        <v>2250.0</v>
      </c>
      <c r="H154" s="12"/>
      <c r="I154" s="12"/>
      <c r="J154" s="12"/>
      <c r="K154" s="12"/>
      <c r="L154" s="12"/>
      <c r="M154" s="50">
        <f t="shared" si="24"/>
        <v>2250</v>
      </c>
      <c r="N154" s="10">
        <f t="shared" si="2"/>
        <v>450</v>
      </c>
      <c r="O154" s="10">
        <f t="shared" si="25"/>
        <v>22.5</v>
      </c>
      <c r="P154" s="10">
        <f t="shared" si="26"/>
        <v>33.75</v>
      </c>
      <c r="Q154" s="10">
        <f t="shared" si="5"/>
        <v>180</v>
      </c>
      <c r="R154" s="10">
        <f t="shared" si="27"/>
        <v>187.425</v>
      </c>
      <c r="S154" s="10">
        <f t="shared" si="7"/>
        <v>62.475</v>
      </c>
      <c r="T154" s="10">
        <f t="shared" si="8"/>
        <v>19.992</v>
      </c>
      <c r="U154" s="10">
        <f t="shared" si="9"/>
        <v>49.98</v>
      </c>
      <c r="V154" s="10">
        <f t="shared" si="28"/>
        <v>187.425</v>
      </c>
      <c r="W154" s="10">
        <f t="shared" si="11"/>
        <v>14.994</v>
      </c>
      <c r="X154" s="10">
        <f t="shared" si="12"/>
        <v>37.485</v>
      </c>
      <c r="Y154" s="10">
        <f t="shared" si="29"/>
        <v>85</v>
      </c>
      <c r="Z154" s="51">
        <f t="shared" si="14"/>
        <v>1331.026</v>
      </c>
      <c r="AA154" s="52"/>
      <c r="AB154" s="15">
        <f t="shared" si="15"/>
        <v>3581.026</v>
      </c>
      <c r="AC154" s="18"/>
    </row>
    <row r="155" ht="18.75" customHeight="1">
      <c r="A155" s="54" t="s">
        <v>400</v>
      </c>
      <c r="B155" s="54" t="s">
        <v>252</v>
      </c>
      <c r="C155" s="45" t="s">
        <v>351</v>
      </c>
      <c r="D155" s="46" t="s">
        <v>408</v>
      </c>
      <c r="E155" s="47" t="s">
        <v>260</v>
      </c>
      <c r="F155" s="48">
        <v>45782.0</v>
      </c>
      <c r="G155" s="49">
        <v>966.43</v>
      </c>
      <c r="H155" s="12"/>
      <c r="I155" s="12"/>
      <c r="J155" s="12"/>
      <c r="K155" s="12"/>
      <c r="L155" s="12"/>
      <c r="M155" s="50">
        <f t="shared" si="24"/>
        <v>966.43</v>
      </c>
      <c r="N155" s="10">
        <f t="shared" si="2"/>
        <v>193.286</v>
      </c>
      <c r="O155" s="10">
        <f t="shared" si="25"/>
        <v>9.6643</v>
      </c>
      <c r="P155" s="10">
        <f t="shared" si="26"/>
        <v>14.49645</v>
      </c>
      <c r="Q155" s="10">
        <f t="shared" si="5"/>
        <v>77.3144</v>
      </c>
      <c r="R155" s="10">
        <f t="shared" si="27"/>
        <v>80.503619</v>
      </c>
      <c r="S155" s="10">
        <f t="shared" si="7"/>
        <v>26.83453967</v>
      </c>
      <c r="T155" s="10">
        <f t="shared" si="8"/>
        <v>8.587052693</v>
      </c>
      <c r="U155" s="10">
        <f t="shared" si="9"/>
        <v>21.46763173</v>
      </c>
      <c r="V155" s="10">
        <f t="shared" si="28"/>
        <v>80.503619</v>
      </c>
      <c r="W155" s="10">
        <f t="shared" si="11"/>
        <v>6.44028952</v>
      </c>
      <c r="X155" s="10">
        <f t="shared" si="12"/>
        <v>16.1007238</v>
      </c>
      <c r="Y155" s="10">
        <f t="shared" si="29"/>
        <v>162.0142</v>
      </c>
      <c r="Z155" s="51">
        <f t="shared" si="14"/>
        <v>697.2128254</v>
      </c>
      <c r="AA155" s="52"/>
      <c r="AB155" s="15">
        <f t="shared" si="15"/>
        <v>1663.642825</v>
      </c>
      <c r="AC155" s="18"/>
    </row>
    <row r="156" ht="18.75" customHeight="1">
      <c r="A156" s="44" t="s">
        <v>400</v>
      </c>
      <c r="B156" s="54" t="s">
        <v>409</v>
      </c>
      <c r="C156" s="45" t="s">
        <v>329</v>
      </c>
      <c r="D156" s="46" t="s">
        <v>209</v>
      </c>
      <c r="E156" s="47" t="s">
        <v>410</v>
      </c>
      <c r="F156" s="48">
        <v>45404.0</v>
      </c>
      <c r="G156" s="49">
        <v>3250.0</v>
      </c>
      <c r="H156" s="12"/>
      <c r="I156" s="12"/>
      <c r="J156" s="12">
        <f>G156*20%</f>
        <v>650</v>
      </c>
      <c r="K156" s="12"/>
      <c r="L156" s="12"/>
      <c r="M156" s="50">
        <f t="shared" si="24"/>
        <v>3900</v>
      </c>
      <c r="N156" s="10">
        <f t="shared" si="2"/>
        <v>780</v>
      </c>
      <c r="O156" s="10">
        <f t="shared" si="25"/>
        <v>32.5</v>
      </c>
      <c r="P156" s="10">
        <f t="shared" si="26"/>
        <v>48.75</v>
      </c>
      <c r="Q156" s="10">
        <f t="shared" si="5"/>
        <v>312</v>
      </c>
      <c r="R156" s="10">
        <f t="shared" si="27"/>
        <v>270.725</v>
      </c>
      <c r="S156" s="10">
        <f t="shared" si="7"/>
        <v>90.24166667</v>
      </c>
      <c r="T156" s="10">
        <f t="shared" si="8"/>
        <v>28.87733333</v>
      </c>
      <c r="U156" s="10">
        <f t="shared" si="9"/>
        <v>72.19333333</v>
      </c>
      <c r="V156" s="10">
        <f t="shared" si="28"/>
        <v>270.725</v>
      </c>
      <c r="W156" s="10">
        <f t="shared" si="11"/>
        <v>21.658</v>
      </c>
      <c r="X156" s="10">
        <f t="shared" si="12"/>
        <v>54.145</v>
      </c>
      <c r="Y156" s="10">
        <f t="shared" si="29"/>
        <v>25</v>
      </c>
      <c r="Z156" s="51">
        <f t="shared" si="14"/>
        <v>2006.815333</v>
      </c>
      <c r="AA156" s="52"/>
      <c r="AB156" s="15">
        <f t="shared" si="15"/>
        <v>5906.815333</v>
      </c>
      <c r="AC156" s="18"/>
    </row>
    <row r="157" ht="18.75" customHeight="1">
      <c r="A157" s="54" t="s">
        <v>400</v>
      </c>
      <c r="B157" s="54" t="s">
        <v>409</v>
      </c>
      <c r="C157" s="45" t="s">
        <v>329</v>
      </c>
      <c r="D157" s="46" t="s">
        <v>411</v>
      </c>
      <c r="E157" s="47" t="s">
        <v>260</v>
      </c>
      <c r="F157" s="48">
        <v>45845.0</v>
      </c>
      <c r="G157" s="49">
        <v>1449.64</v>
      </c>
      <c r="H157" s="12"/>
      <c r="I157" s="12"/>
      <c r="J157" s="12"/>
      <c r="K157" s="12"/>
      <c r="L157" s="12"/>
      <c r="M157" s="50">
        <f t="shared" si="24"/>
        <v>1449.64</v>
      </c>
      <c r="N157" s="10">
        <f t="shared" si="2"/>
        <v>289.928</v>
      </c>
      <c r="O157" s="10">
        <f t="shared" si="25"/>
        <v>14.4964</v>
      </c>
      <c r="P157" s="10">
        <f t="shared" si="26"/>
        <v>21.7446</v>
      </c>
      <c r="Q157" s="10">
        <f t="shared" si="5"/>
        <v>115.9712</v>
      </c>
      <c r="R157" s="10">
        <f t="shared" si="27"/>
        <v>120.755012</v>
      </c>
      <c r="S157" s="10">
        <f t="shared" si="7"/>
        <v>40.25167067</v>
      </c>
      <c r="T157" s="10">
        <f t="shared" si="8"/>
        <v>12.88053461</v>
      </c>
      <c r="U157" s="10">
        <f t="shared" si="9"/>
        <v>32.20133653</v>
      </c>
      <c r="V157" s="10">
        <f t="shared" si="28"/>
        <v>120.755012</v>
      </c>
      <c r="W157" s="10">
        <f t="shared" si="11"/>
        <v>9.66040096</v>
      </c>
      <c r="X157" s="10">
        <f t="shared" si="12"/>
        <v>24.1510024</v>
      </c>
      <c r="Y157" s="10">
        <f t="shared" si="29"/>
        <v>133.0216</v>
      </c>
      <c r="Z157" s="51">
        <f t="shared" si="14"/>
        <v>935.8167692</v>
      </c>
      <c r="AA157" s="52"/>
      <c r="AB157" s="15">
        <f t="shared" si="15"/>
        <v>2385.456769</v>
      </c>
      <c r="AC157" s="18"/>
    </row>
    <row r="158" ht="18.75" customHeight="1">
      <c r="A158" s="54" t="s">
        <v>382</v>
      </c>
      <c r="B158" s="54" t="s">
        <v>412</v>
      </c>
      <c r="C158" s="45" t="s">
        <v>329</v>
      </c>
      <c r="D158" s="46" t="s">
        <v>201</v>
      </c>
      <c r="E158" s="47" t="s">
        <v>413</v>
      </c>
      <c r="F158" s="48">
        <v>44670.0</v>
      </c>
      <c r="G158" s="49">
        <v>2600.0</v>
      </c>
      <c r="H158" s="12">
        <f>G158*40%</f>
        <v>1040</v>
      </c>
      <c r="I158" s="12"/>
      <c r="J158" s="12"/>
      <c r="K158" s="12"/>
      <c r="L158" s="12"/>
      <c r="M158" s="50">
        <f t="shared" si="24"/>
        <v>3640</v>
      </c>
      <c r="N158" s="10">
        <f t="shared" si="2"/>
        <v>728</v>
      </c>
      <c r="O158" s="10">
        <f t="shared" si="25"/>
        <v>26</v>
      </c>
      <c r="P158" s="10">
        <f t="shared" si="26"/>
        <v>39</v>
      </c>
      <c r="Q158" s="10">
        <f t="shared" si="5"/>
        <v>291.2</v>
      </c>
      <c r="R158" s="10">
        <f t="shared" si="27"/>
        <v>216.58</v>
      </c>
      <c r="S158" s="10">
        <f t="shared" si="7"/>
        <v>72.19333333</v>
      </c>
      <c r="T158" s="10">
        <f t="shared" si="8"/>
        <v>23.10186667</v>
      </c>
      <c r="U158" s="10">
        <f t="shared" si="9"/>
        <v>57.75466667</v>
      </c>
      <c r="V158" s="10">
        <f t="shared" si="28"/>
        <v>216.58</v>
      </c>
      <c r="W158" s="10">
        <f t="shared" si="11"/>
        <v>17.3264</v>
      </c>
      <c r="X158" s="10">
        <f t="shared" si="12"/>
        <v>43.316</v>
      </c>
      <c r="Y158" s="10">
        <f t="shared" si="29"/>
        <v>64</v>
      </c>
      <c r="Z158" s="51">
        <f t="shared" si="14"/>
        <v>1795.052267</v>
      </c>
      <c r="AA158" s="52"/>
      <c r="AB158" s="15">
        <f t="shared" si="15"/>
        <v>5435.052267</v>
      </c>
      <c r="AC158" s="18"/>
    </row>
    <row r="159" ht="18.75" customHeight="1">
      <c r="A159" s="54" t="s">
        <v>382</v>
      </c>
      <c r="B159" s="54" t="s">
        <v>412</v>
      </c>
      <c r="C159" s="45" t="s">
        <v>329</v>
      </c>
      <c r="D159" s="46" t="s">
        <v>206</v>
      </c>
      <c r="E159" s="47" t="s">
        <v>204</v>
      </c>
      <c r="F159" s="48">
        <v>45602.0</v>
      </c>
      <c r="G159" s="49">
        <v>2330.0</v>
      </c>
      <c r="H159" s="12"/>
      <c r="I159" s="12"/>
      <c r="J159" s="12"/>
      <c r="K159" s="12"/>
      <c r="L159" s="12"/>
      <c r="M159" s="50">
        <f t="shared" si="24"/>
        <v>2330</v>
      </c>
      <c r="N159" s="10">
        <f t="shared" si="2"/>
        <v>466</v>
      </c>
      <c r="O159" s="10">
        <f t="shared" si="25"/>
        <v>23.3</v>
      </c>
      <c r="P159" s="10">
        <f t="shared" si="26"/>
        <v>34.95</v>
      </c>
      <c r="Q159" s="10">
        <f t="shared" si="5"/>
        <v>186.4</v>
      </c>
      <c r="R159" s="10">
        <f t="shared" si="27"/>
        <v>194.089</v>
      </c>
      <c r="S159" s="10">
        <f t="shared" si="7"/>
        <v>64.69633333</v>
      </c>
      <c r="T159" s="10">
        <f t="shared" si="8"/>
        <v>20.70282667</v>
      </c>
      <c r="U159" s="10">
        <f t="shared" si="9"/>
        <v>51.75706667</v>
      </c>
      <c r="V159" s="10">
        <f t="shared" si="28"/>
        <v>194.089</v>
      </c>
      <c r="W159" s="10">
        <f t="shared" si="11"/>
        <v>15.52712</v>
      </c>
      <c r="X159" s="10">
        <f t="shared" si="12"/>
        <v>38.8178</v>
      </c>
      <c r="Y159" s="10">
        <f t="shared" si="29"/>
        <v>80.2</v>
      </c>
      <c r="Z159" s="51">
        <f t="shared" si="14"/>
        <v>1370.529147</v>
      </c>
      <c r="AA159" s="52"/>
      <c r="AB159" s="15">
        <f t="shared" si="15"/>
        <v>3700.529147</v>
      </c>
      <c r="AC159" s="18"/>
    </row>
    <row r="160" ht="18.75" customHeight="1">
      <c r="A160" s="54" t="s">
        <v>382</v>
      </c>
      <c r="B160" s="54" t="s">
        <v>414</v>
      </c>
      <c r="C160" s="45" t="s">
        <v>329</v>
      </c>
      <c r="D160" s="46" t="s">
        <v>415</v>
      </c>
      <c r="E160" s="47" t="s">
        <v>416</v>
      </c>
      <c r="F160" s="48">
        <v>45964.0</v>
      </c>
      <c r="G160" s="49">
        <v>2785.0</v>
      </c>
      <c r="H160" s="12"/>
      <c r="I160" s="12"/>
      <c r="J160" s="12"/>
      <c r="K160" s="12"/>
      <c r="L160" s="12"/>
      <c r="M160" s="50">
        <f t="shared" si="24"/>
        <v>2785</v>
      </c>
      <c r="N160" s="10">
        <f t="shared" si="2"/>
        <v>557</v>
      </c>
      <c r="O160" s="10">
        <f t="shared" si="25"/>
        <v>27.85</v>
      </c>
      <c r="P160" s="10">
        <f t="shared" si="26"/>
        <v>41.775</v>
      </c>
      <c r="Q160" s="10">
        <f t="shared" si="5"/>
        <v>222.8</v>
      </c>
      <c r="R160" s="10">
        <f t="shared" si="27"/>
        <v>231.9905</v>
      </c>
      <c r="S160" s="10">
        <f t="shared" si="7"/>
        <v>77.33016667</v>
      </c>
      <c r="T160" s="10">
        <f t="shared" si="8"/>
        <v>24.74565333</v>
      </c>
      <c r="U160" s="10">
        <f t="shared" si="9"/>
        <v>61.86413333</v>
      </c>
      <c r="V160" s="10">
        <f t="shared" si="28"/>
        <v>231.9905</v>
      </c>
      <c r="W160" s="10">
        <f t="shared" si="11"/>
        <v>18.55924</v>
      </c>
      <c r="X160" s="10">
        <f t="shared" si="12"/>
        <v>46.3981</v>
      </c>
      <c r="Y160" s="10">
        <f t="shared" si="29"/>
        <v>52.9</v>
      </c>
      <c r="Z160" s="51">
        <f t="shared" si="14"/>
        <v>1595.203293</v>
      </c>
      <c r="AA160" s="52"/>
      <c r="AB160" s="15">
        <f t="shared" si="15"/>
        <v>4380.203293</v>
      </c>
      <c r="AC160" s="18"/>
    </row>
    <row r="161" ht="18.75" customHeight="1">
      <c r="A161" s="54" t="s">
        <v>382</v>
      </c>
      <c r="B161" s="54" t="s">
        <v>414</v>
      </c>
      <c r="C161" s="45" t="s">
        <v>329</v>
      </c>
      <c r="D161" s="46" t="s">
        <v>205</v>
      </c>
      <c r="E161" s="47" t="s">
        <v>204</v>
      </c>
      <c r="F161" s="48">
        <v>45315.0</v>
      </c>
      <c r="G161" s="49">
        <v>2330.0</v>
      </c>
      <c r="H161" s="12"/>
      <c r="I161" s="12"/>
      <c r="J161" s="12">
        <f>G161*10%</f>
        <v>233</v>
      </c>
      <c r="K161" s="12"/>
      <c r="L161" s="12"/>
      <c r="M161" s="50">
        <f t="shared" si="24"/>
        <v>2563</v>
      </c>
      <c r="N161" s="10">
        <f t="shared" si="2"/>
        <v>512.6</v>
      </c>
      <c r="O161" s="10">
        <f t="shared" si="25"/>
        <v>23.3</v>
      </c>
      <c r="P161" s="10">
        <f t="shared" si="26"/>
        <v>34.95</v>
      </c>
      <c r="Q161" s="10">
        <f t="shared" si="5"/>
        <v>205.04</v>
      </c>
      <c r="R161" s="10">
        <f t="shared" si="27"/>
        <v>194.089</v>
      </c>
      <c r="S161" s="10">
        <f t="shared" si="7"/>
        <v>64.69633333</v>
      </c>
      <c r="T161" s="10">
        <f t="shared" si="8"/>
        <v>20.70282667</v>
      </c>
      <c r="U161" s="10">
        <f t="shared" si="9"/>
        <v>51.75706667</v>
      </c>
      <c r="V161" s="10">
        <f t="shared" si="28"/>
        <v>194.089</v>
      </c>
      <c r="W161" s="10">
        <f t="shared" si="11"/>
        <v>15.52712</v>
      </c>
      <c r="X161" s="10">
        <f t="shared" si="12"/>
        <v>38.8178</v>
      </c>
      <c r="Y161" s="10">
        <f t="shared" si="29"/>
        <v>80.2</v>
      </c>
      <c r="Z161" s="51">
        <f t="shared" si="14"/>
        <v>1435.769147</v>
      </c>
      <c r="AA161" s="52"/>
      <c r="AB161" s="15">
        <f t="shared" si="15"/>
        <v>3998.769147</v>
      </c>
      <c r="AC161" s="18"/>
    </row>
    <row r="162" ht="18.75" customHeight="1">
      <c r="A162" s="54" t="s">
        <v>382</v>
      </c>
      <c r="B162" s="54" t="s">
        <v>196</v>
      </c>
      <c r="C162" s="45" t="s">
        <v>356</v>
      </c>
      <c r="D162" s="46" t="s">
        <v>417</v>
      </c>
      <c r="E162" s="47" t="s">
        <v>418</v>
      </c>
      <c r="F162" s="48">
        <v>45833.0</v>
      </c>
      <c r="G162" s="49">
        <v>2715.0</v>
      </c>
      <c r="H162" s="12"/>
      <c r="I162" s="12"/>
      <c r="J162" s="12"/>
      <c r="K162" s="12"/>
      <c r="L162" s="12"/>
      <c r="M162" s="50">
        <f t="shared" si="24"/>
        <v>2715</v>
      </c>
      <c r="N162" s="10">
        <f t="shared" si="2"/>
        <v>543</v>
      </c>
      <c r="O162" s="10">
        <f t="shared" si="25"/>
        <v>27.15</v>
      </c>
      <c r="P162" s="10">
        <f t="shared" si="26"/>
        <v>40.725</v>
      </c>
      <c r="Q162" s="10">
        <f t="shared" si="5"/>
        <v>217.2</v>
      </c>
      <c r="R162" s="10">
        <f t="shared" si="27"/>
        <v>226.1595</v>
      </c>
      <c r="S162" s="10">
        <f t="shared" si="7"/>
        <v>75.3865</v>
      </c>
      <c r="T162" s="10">
        <f t="shared" si="8"/>
        <v>24.12368</v>
      </c>
      <c r="U162" s="10">
        <f t="shared" si="9"/>
        <v>60.3092</v>
      </c>
      <c r="V162" s="10">
        <f t="shared" si="28"/>
        <v>226.1595</v>
      </c>
      <c r="W162" s="10">
        <f t="shared" si="11"/>
        <v>18.09276</v>
      </c>
      <c r="X162" s="10">
        <f t="shared" si="12"/>
        <v>45.2319</v>
      </c>
      <c r="Y162" s="10">
        <f t="shared" si="29"/>
        <v>57.1</v>
      </c>
      <c r="Z162" s="51">
        <f t="shared" si="14"/>
        <v>1560.63804</v>
      </c>
      <c r="AA162" s="52"/>
      <c r="AB162" s="15">
        <f t="shared" si="15"/>
        <v>4275.63804</v>
      </c>
      <c r="AC162" s="18"/>
    </row>
    <row r="163" ht="18.75" customHeight="1">
      <c r="A163" s="54" t="s">
        <v>382</v>
      </c>
      <c r="B163" s="54" t="s">
        <v>196</v>
      </c>
      <c r="C163" s="60" t="s">
        <v>386</v>
      </c>
      <c r="D163" s="46"/>
      <c r="E163" s="47" t="s">
        <v>418</v>
      </c>
      <c r="F163" s="48"/>
      <c r="G163" s="49">
        <v>0.0</v>
      </c>
      <c r="H163" s="12"/>
      <c r="I163" s="12"/>
      <c r="J163" s="12"/>
      <c r="K163" s="12"/>
      <c r="L163" s="12"/>
      <c r="M163" s="50">
        <f t="shared" si="24"/>
        <v>0</v>
      </c>
      <c r="N163" s="10">
        <f t="shared" si="2"/>
        <v>0</v>
      </c>
      <c r="O163" s="10">
        <f t="shared" si="25"/>
        <v>0</v>
      </c>
      <c r="P163" s="10">
        <f t="shared" si="26"/>
        <v>0</v>
      </c>
      <c r="Q163" s="10">
        <f t="shared" si="5"/>
        <v>0</v>
      </c>
      <c r="R163" s="10">
        <f t="shared" si="27"/>
        <v>0</v>
      </c>
      <c r="S163" s="10">
        <f t="shared" si="7"/>
        <v>0</v>
      </c>
      <c r="T163" s="10">
        <f t="shared" si="8"/>
        <v>0</v>
      </c>
      <c r="U163" s="10">
        <f t="shared" si="9"/>
        <v>0</v>
      </c>
      <c r="V163" s="10">
        <f t="shared" si="28"/>
        <v>0</v>
      </c>
      <c r="W163" s="10">
        <f t="shared" si="11"/>
        <v>0</v>
      </c>
      <c r="X163" s="10">
        <f t="shared" si="12"/>
        <v>0</v>
      </c>
      <c r="Y163" s="10">
        <f t="shared" si="29"/>
        <v>0</v>
      </c>
      <c r="Z163" s="51">
        <f t="shared" si="14"/>
        <v>0</v>
      </c>
      <c r="AA163" s="52"/>
      <c r="AB163" s="15">
        <f t="shared" si="15"/>
        <v>0</v>
      </c>
      <c r="AC163" s="18"/>
    </row>
    <row r="164" ht="18.75" customHeight="1">
      <c r="A164" s="54" t="s">
        <v>419</v>
      </c>
      <c r="B164" s="54" t="s">
        <v>233</v>
      </c>
      <c r="C164" s="45" t="s">
        <v>329</v>
      </c>
      <c r="D164" s="46" t="s">
        <v>235</v>
      </c>
      <c r="E164" s="47" t="s">
        <v>420</v>
      </c>
      <c r="F164" s="48">
        <v>44497.0</v>
      </c>
      <c r="G164" s="49">
        <v>3691.5</v>
      </c>
      <c r="H164" s="12"/>
      <c r="I164" s="12"/>
      <c r="J164" s="12"/>
      <c r="K164" s="12"/>
      <c r="L164" s="12"/>
      <c r="M164" s="50">
        <f t="shared" si="24"/>
        <v>3691.5</v>
      </c>
      <c r="N164" s="10">
        <f t="shared" si="2"/>
        <v>738.3</v>
      </c>
      <c r="O164" s="10">
        <f t="shared" si="25"/>
        <v>36.915</v>
      </c>
      <c r="P164" s="10">
        <f t="shared" si="26"/>
        <v>55.3725</v>
      </c>
      <c r="Q164" s="10">
        <f t="shared" si="5"/>
        <v>295.32</v>
      </c>
      <c r="R164" s="10">
        <f t="shared" si="27"/>
        <v>307.50195</v>
      </c>
      <c r="S164" s="10">
        <f t="shared" si="7"/>
        <v>102.50065</v>
      </c>
      <c r="T164" s="10">
        <f t="shared" si="8"/>
        <v>32.800208</v>
      </c>
      <c r="U164" s="10">
        <f t="shared" si="9"/>
        <v>82.00052</v>
      </c>
      <c r="V164" s="10">
        <f t="shared" si="28"/>
        <v>307.50195</v>
      </c>
      <c r="W164" s="10">
        <f t="shared" si="11"/>
        <v>24.600156</v>
      </c>
      <c r="X164" s="10">
        <f t="shared" si="12"/>
        <v>61.50039</v>
      </c>
      <c r="Y164" s="10">
        <f t="shared" si="29"/>
        <v>-1.49</v>
      </c>
      <c r="Z164" s="51">
        <f t="shared" si="14"/>
        <v>2042.823324</v>
      </c>
      <c r="AA164" s="52"/>
      <c r="AB164" s="15">
        <f t="shared" si="15"/>
        <v>5734.323324</v>
      </c>
      <c r="AC164" s="18"/>
    </row>
    <row r="165" ht="18.75" customHeight="1">
      <c r="A165" s="54" t="s">
        <v>419</v>
      </c>
      <c r="B165" s="54" t="s">
        <v>233</v>
      </c>
      <c r="C165" s="45" t="s">
        <v>329</v>
      </c>
      <c r="D165" s="46" t="s">
        <v>240</v>
      </c>
      <c r="E165" s="47" t="s">
        <v>421</v>
      </c>
      <c r="F165" s="48">
        <v>45640.0</v>
      </c>
      <c r="G165" s="49">
        <v>2850.0</v>
      </c>
      <c r="H165" s="12"/>
      <c r="I165" s="12"/>
      <c r="J165" s="12">
        <f>G165*20%</f>
        <v>570</v>
      </c>
      <c r="K165" s="12"/>
      <c r="L165" s="12"/>
      <c r="M165" s="50">
        <f t="shared" si="24"/>
        <v>3420</v>
      </c>
      <c r="N165" s="10">
        <f t="shared" si="2"/>
        <v>684</v>
      </c>
      <c r="O165" s="10">
        <f t="shared" si="25"/>
        <v>28.5</v>
      </c>
      <c r="P165" s="10">
        <f t="shared" si="26"/>
        <v>42.75</v>
      </c>
      <c r="Q165" s="10">
        <f t="shared" si="5"/>
        <v>273.6</v>
      </c>
      <c r="R165" s="10">
        <f t="shared" si="27"/>
        <v>237.405</v>
      </c>
      <c r="S165" s="10">
        <f t="shared" si="7"/>
        <v>79.135</v>
      </c>
      <c r="T165" s="10">
        <f t="shared" si="8"/>
        <v>25.3232</v>
      </c>
      <c r="U165" s="10">
        <f t="shared" si="9"/>
        <v>63.308</v>
      </c>
      <c r="V165" s="10">
        <f t="shared" si="28"/>
        <v>237.405</v>
      </c>
      <c r="W165" s="10">
        <f t="shared" si="11"/>
        <v>18.9924</v>
      </c>
      <c r="X165" s="10">
        <f t="shared" si="12"/>
        <v>47.481</v>
      </c>
      <c r="Y165" s="10">
        <f t="shared" si="29"/>
        <v>49</v>
      </c>
      <c r="Z165" s="51">
        <f t="shared" si="14"/>
        <v>1786.8996</v>
      </c>
      <c r="AA165" s="52"/>
      <c r="AB165" s="15">
        <f t="shared" si="15"/>
        <v>5206.8996</v>
      </c>
      <c r="AC165" s="18"/>
    </row>
    <row r="166" ht="18.75" customHeight="1">
      <c r="A166" s="54" t="s">
        <v>419</v>
      </c>
      <c r="B166" s="54" t="s">
        <v>233</v>
      </c>
      <c r="C166" s="45" t="s">
        <v>356</v>
      </c>
      <c r="D166" s="46" t="s">
        <v>239</v>
      </c>
      <c r="E166" s="47" t="s">
        <v>421</v>
      </c>
      <c r="F166" s="48">
        <v>45617.0</v>
      </c>
      <c r="G166" s="49">
        <v>2850.0</v>
      </c>
      <c r="H166" s="12"/>
      <c r="I166" s="12"/>
      <c r="J166" s="12">
        <f>G166*10%</f>
        <v>285</v>
      </c>
      <c r="K166" s="12"/>
      <c r="L166" s="12"/>
      <c r="M166" s="50">
        <f t="shared" si="24"/>
        <v>3135</v>
      </c>
      <c r="N166" s="10">
        <f t="shared" si="2"/>
        <v>627</v>
      </c>
      <c r="O166" s="10">
        <f t="shared" si="25"/>
        <v>28.5</v>
      </c>
      <c r="P166" s="10">
        <f t="shared" si="26"/>
        <v>42.75</v>
      </c>
      <c r="Q166" s="10">
        <f t="shared" si="5"/>
        <v>250.8</v>
      </c>
      <c r="R166" s="10">
        <f t="shared" si="27"/>
        <v>237.405</v>
      </c>
      <c r="S166" s="10">
        <f t="shared" si="7"/>
        <v>79.135</v>
      </c>
      <c r="T166" s="10">
        <f t="shared" si="8"/>
        <v>25.3232</v>
      </c>
      <c r="U166" s="10">
        <f t="shared" si="9"/>
        <v>63.308</v>
      </c>
      <c r="V166" s="10">
        <f t="shared" si="28"/>
        <v>237.405</v>
      </c>
      <c r="W166" s="10">
        <f t="shared" si="11"/>
        <v>18.9924</v>
      </c>
      <c r="X166" s="10">
        <f t="shared" si="12"/>
        <v>47.481</v>
      </c>
      <c r="Y166" s="10">
        <f t="shared" si="29"/>
        <v>49</v>
      </c>
      <c r="Z166" s="51">
        <f t="shared" si="14"/>
        <v>1707.0996</v>
      </c>
      <c r="AA166" s="52"/>
      <c r="AB166" s="15">
        <f t="shared" si="15"/>
        <v>4842.0996</v>
      </c>
      <c r="AC166" s="18"/>
    </row>
    <row r="167" ht="18.75" customHeight="1">
      <c r="A167" s="54" t="s">
        <v>419</v>
      </c>
      <c r="B167" s="54" t="s">
        <v>233</v>
      </c>
      <c r="C167" s="45" t="s">
        <v>356</v>
      </c>
      <c r="D167" s="46" t="s">
        <v>422</v>
      </c>
      <c r="E167" s="47" t="s">
        <v>423</v>
      </c>
      <c r="F167" s="48">
        <v>45669.0</v>
      </c>
      <c r="G167" s="49">
        <v>2587.0</v>
      </c>
      <c r="H167" s="12"/>
      <c r="I167" s="12"/>
      <c r="J167" s="12"/>
      <c r="K167" s="12"/>
      <c r="L167" s="12"/>
      <c r="M167" s="50">
        <f t="shared" si="24"/>
        <v>2587</v>
      </c>
      <c r="N167" s="10">
        <f t="shared" si="2"/>
        <v>517.4</v>
      </c>
      <c r="O167" s="10">
        <f t="shared" si="25"/>
        <v>25.87</v>
      </c>
      <c r="P167" s="10">
        <f t="shared" si="26"/>
        <v>38.805</v>
      </c>
      <c r="Q167" s="10">
        <f t="shared" si="5"/>
        <v>206.96</v>
      </c>
      <c r="R167" s="10">
        <f t="shared" si="27"/>
        <v>215.4971</v>
      </c>
      <c r="S167" s="10">
        <f t="shared" si="7"/>
        <v>71.83236667</v>
      </c>
      <c r="T167" s="10">
        <f t="shared" si="8"/>
        <v>22.98635733</v>
      </c>
      <c r="U167" s="10">
        <f t="shared" si="9"/>
        <v>57.46589333</v>
      </c>
      <c r="V167" s="10">
        <f t="shared" si="28"/>
        <v>215.4971</v>
      </c>
      <c r="W167" s="10">
        <f t="shared" si="11"/>
        <v>17.239768</v>
      </c>
      <c r="X167" s="10">
        <f t="shared" si="12"/>
        <v>43.09942</v>
      </c>
      <c r="Y167" s="10">
        <f t="shared" si="29"/>
        <v>64.78</v>
      </c>
      <c r="Z167" s="51">
        <f t="shared" si="14"/>
        <v>1497.433005</v>
      </c>
      <c r="AA167" s="52"/>
      <c r="AB167" s="15">
        <f t="shared" si="15"/>
        <v>4084.433005</v>
      </c>
      <c r="AC167" s="18"/>
    </row>
    <row r="168" ht="18.75" customHeight="1">
      <c r="A168" s="54" t="s">
        <v>419</v>
      </c>
      <c r="B168" s="54" t="s">
        <v>233</v>
      </c>
      <c r="C168" s="45" t="s">
        <v>356</v>
      </c>
      <c r="D168" s="46" t="s">
        <v>424</v>
      </c>
      <c r="E168" s="47" t="s">
        <v>423</v>
      </c>
      <c r="F168" s="55">
        <v>45673.0</v>
      </c>
      <c r="G168" s="49">
        <v>2587.0</v>
      </c>
      <c r="H168" s="12"/>
      <c r="I168" s="12"/>
      <c r="J168" s="12"/>
      <c r="K168" s="12"/>
      <c r="L168" s="12"/>
      <c r="M168" s="50">
        <f t="shared" si="24"/>
        <v>2587</v>
      </c>
      <c r="N168" s="10">
        <f t="shared" si="2"/>
        <v>517.4</v>
      </c>
      <c r="O168" s="10">
        <f t="shared" si="25"/>
        <v>25.87</v>
      </c>
      <c r="P168" s="10">
        <f t="shared" si="26"/>
        <v>38.805</v>
      </c>
      <c r="Q168" s="10">
        <f t="shared" si="5"/>
        <v>206.96</v>
      </c>
      <c r="R168" s="10">
        <f t="shared" si="27"/>
        <v>215.4971</v>
      </c>
      <c r="S168" s="10">
        <f t="shared" si="7"/>
        <v>71.83236667</v>
      </c>
      <c r="T168" s="10">
        <f t="shared" si="8"/>
        <v>22.98635733</v>
      </c>
      <c r="U168" s="10">
        <f t="shared" si="9"/>
        <v>57.46589333</v>
      </c>
      <c r="V168" s="10">
        <f t="shared" si="28"/>
        <v>215.4971</v>
      </c>
      <c r="W168" s="10">
        <f t="shared" si="11"/>
        <v>17.239768</v>
      </c>
      <c r="X168" s="10">
        <f t="shared" si="12"/>
        <v>43.09942</v>
      </c>
      <c r="Y168" s="10">
        <f t="shared" si="29"/>
        <v>64.78</v>
      </c>
      <c r="Z168" s="51">
        <f t="shared" si="14"/>
        <v>1497.433005</v>
      </c>
      <c r="AA168" s="52"/>
      <c r="AB168" s="15">
        <f t="shared" si="15"/>
        <v>4084.433005</v>
      </c>
      <c r="AC168" s="18"/>
    </row>
    <row r="169" ht="18.75" customHeight="1">
      <c r="A169" s="54" t="s">
        <v>419</v>
      </c>
      <c r="B169" s="54" t="s">
        <v>233</v>
      </c>
      <c r="C169" s="45" t="s">
        <v>351</v>
      </c>
      <c r="D169" s="46" t="s">
        <v>425</v>
      </c>
      <c r="E169" s="47" t="s">
        <v>260</v>
      </c>
      <c r="F169" s="48">
        <v>45915.0</v>
      </c>
      <c r="G169" s="49">
        <v>966.43</v>
      </c>
      <c r="H169" s="12"/>
      <c r="I169" s="12"/>
      <c r="J169" s="12"/>
      <c r="K169" s="12"/>
      <c r="L169" s="12"/>
      <c r="M169" s="50">
        <f t="shared" si="24"/>
        <v>966.43</v>
      </c>
      <c r="N169" s="10">
        <f t="shared" si="2"/>
        <v>193.286</v>
      </c>
      <c r="O169" s="10">
        <f t="shared" si="25"/>
        <v>9.6643</v>
      </c>
      <c r="P169" s="10">
        <f t="shared" si="26"/>
        <v>14.49645</v>
      </c>
      <c r="Q169" s="10">
        <f t="shared" si="5"/>
        <v>77.3144</v>
      </c>
      <c r="R169" s="10">
        <f t="shared" si="27"/>
        <v>80.503619</v>
      </c>
      <c r="S169" s="10">
        <f t="shared" si="7"/>
        <v>26.83453967</v>
      </c>
      <c r="T169" s="10">
        <f t="shared" si="8"/>
        <v>8.587052693</v>
      </c>
      <c r="U169" s="10">
        <f t="shared" si="9"/>
        <v>21.46763173</v>
      </c>
      <c r="V169" s="10">
        <f t="shared" si="28"/>
        <v>80.503619</v>
      </c>
      <c r="W169" s="10">
        <f t="shared" si="11"/>
        <v>6.44028952</v>
      </c>
      <c r="X169" s="10">
        <f t="shared" si="12"/>
        <v>16.1007238</v>
      </c>
      <c r="Y169" s="10">
        <f t="shared" si="29"/>
        <v>162.0142</v>
      </c>
      <c r="Z169" s="51">
        <f t="shared" si="14"/>
        <v>697.2128254</v>
      </c>
      <c r="AA169" s="52"/>
      <c r="AB169" s="15">
        <f t="shared" si="15"/>
        <v>1663.642825</v>
      </c>
      <c r="AC169" s="18"/>
    </row>
    <row r="170" ht="18.75" customHeight="1">
      <c r="A170" s="54" t="s">
        <v>419</v>
      </c>
      <c r="B170" s="54" t="s">
        <v>230</v>
      </c>
      <c r="C170" s="45" t="s">
        <v>329</v>
      </c>
      <c r="D170" s="46" t="s">
        <v>232</v>
      </c>
      <c r="E170" s="47" t="s">
        <v>426</v>
      </c>
      <c r="F170" s="48">
        <v>44140.0</v>
      </c>
      <c r="G170" s="49">
        <v>2920.0</v>
      </c>
      <c r="H170" s="12"/>
      <c r="I170" s="12"/>
      <c r="J170" s="12"/>
      <c r="K170" s="12"/>
      <c r="L170" s="12">
        <f>G170*2%</f>
        <v>58.4</v>
      </c>
      <c r="M170" s="50">
        <f t="shared" si="24"/>
        <v>2978.4</v>
      </c>
      <c r="N170" s="10">
        <f t="shared" si="2"/>
        <v>595.68</v>
      </c>
      <c r="O170" s="10">
        <f t="shared" si="25"/>
        <v>29.2</v>
      </c>
      <c r="P170" s="10">
        <f t="shared" si="26"/>
        <v>43.8</v>
      </c>
      <c r="Q170" s="10">
        <f t="shared" si="5"/>
        <v>238.272</v>
      </c>
      <c r="R170" s="10">
        <f t="shared" si="27"/>
        <v>243.236</v>
      </c>
      <c r="S170" s="10">
        <f t="shared" si="7"/>
        <v>81.07866667</v>
      </c>
      <c r="T170" s="10">
        <f t="shared" si="8"/>
        <v>25.94517333</v>
      </c>
      <c r="U170" s="10">
        <f t="shared" si="9"/>
        <v>64.86293333</v>
      </c>
      <c r="V170" s="10">
        <f t="shared" si="28"/>
        <v>243.236</v>
      </c>
      <c r="W170" s="10">
        <f t="shared" si="11"/>
        <v>19.45888</v>
      </c>
      <c r="X170" s="10">
        <f t="shared" si="12"/>
        <v>48.6472</v>
      </c>
      <c r="Y170" s="10">
        <f t="shared" si="29"/>
        <v>44.8</v>
      </c>
      <c r="Z170" s="51">
        <f t="shared" si="14"/>
        <v>1678.216853</v>
      </c>
      <c r="AA170" s="52"/>
      <c r="AB170" s="15">
        <f t="shared" si="15"/>
        <v>4656.616853</v>
      </c>
      <c r="AC170" s="18"/>
    </row>
    <row r="171" ht="18.75" customHeight="1">
      <c r="A171" s="54" t="s">
        <v>419</v>
      </c>
      <c r="B171" s="54" t="s">
        <v>242</v>
      </c>
      <c r="C171" s="45" t="s">
        <v>329</v>
      </c>
      <c r="D171" s="46" t="s">
        <v>247</v>
      </c>
      <c r="E171" s="47" t="s">
        <v>427</v>
      </c>
      <c r="F171" s="48">
        <v>45446.0</v>
      </c>
      <c r="G171" s="49">
        <v>3170.0</v>
      </c>
      <c r="H171" s="12">
        <f>G171*40%</f>
        <v>1268</v>
      </c>
      <c r="I171" s="12"/>
      <c r="J171" s="12">
        <f>G171*10%</f>
        <v>317</v>
      </c>
      <c r="K171" s="12"/>
      <c r="L171" s="12"/>
      <c r="M171" s="50">
        <f t="shared" si="24"/>
        <v>4755</v>
      </c>
      <c r="N171" s="10">
        <f t="shared" si="2"/>
        <v>951</v>
      </c>
      <c r="O171" s="10">
        <f t="shared" si="25"/>
        <v>31.7</v>
      </c>
      <c r="P171" s="10">
        <f t="shared" si="26"/>
        <v>47.55</v>
      </c>
      <c r="Q171" s="10">
        <f t="shared" si="5"/>
        <v>380.4</v>
      </c>
      <c r="R171" s="10">
        <f t="shared" si="27"/>
        <v>264.061</v>
      </c>
      <c r="S171" s="10">
        <f t="shared" si="7"/>
        <v>88.02033333</v>
      </c>
      <c r="T171" s="10">
        <f t="shared" si="8"/>
        <v>28.16650667</v>
      </c>
      <c r="U171" s="10">
        <f t="shared" si="9"/>
        <v>70.41626667</v>
      </c>
      <c r="V171" s="10">
        <f t="shared" si="28"/>
        <v>264.061</v>
      </c>
      <c r="W171" s="10">
        <f t="shared" si="11"/>
        <v>21.12488</v>
      </c>
      <c r="X171" s="10">
        <f t="shared" si="12"/>
        <v>52.8122</v>
      </c>
      <c r="Y171" s="10">
        <f t="shared" si="29"/>
        <v>29.8</v>
      </c>
      <c r="Z171" s="51">
        <f t="shared" si="14"/>
        <v>2229.112187</v>
      </c>
      <c r="AA171" s="57">
        <v>1372.67</v>
      </c>
      <c r="AB171" s="15">
        <f t="shared" si="15"/>
        <v>8356.782187</v>
      </c>
      <c r="AC171" s="18"/>
    </row>
    <row r="172" ht="18.75" customHeight="1">
      <c r="A172" s="54" t="s">
        <v>419</v>
      </c>
      <c r="B172" s="54" t="s">
        <v>242</v>
      </c>
      <c r="C172" s="45" t="s">
        <v>329</v>
      </c>
      <c r="D172" s="46" t="s">
        <v>428</v>
      </c>
      <c r="E172" s="47" t="s">
        <v>429</v>
      </c>
      <c r="F172" s="48">
        <v>45446.0</v>
      </c>
      <c r="G172" s="49">
        <v>3485.0</v>
      </c>
      <c r="H172" s="12"/>
      <c r="I172" s="12"/>
      <c r="J172" s="12"/>
      <c r="K172" s="12"/>
      <c r="L172" s="12"/>
      <c r="M172" s="50">
        <f t="shared" si="24"/>
        <v>3485</v>
      </c>
      <c r="N172" s="10">
        <f t="shared" si="2"/>
        <v>697</v>
      </c>
      <c r="O172" s="10">
        <f t="shared" si="25"/>
        <v>34.85</v>
      </c>
      <c r="P172" s="10">
        <f t="shared" si="26"/>
        <v>52.275</v>
      </c>
      <c r="Q172" s="10">
        <f t="shared" si="5"/>
        <v>278.8</v>
      </c>
      <c r="R172" s="10">
        <f t="shared" si="27"/>
        <v>290.3005</v>
      </c>
      <c r="S172" s="10">
        <f t="shared" si="7"/>
        <v>96.76683333</v>
      </c>
      <c r="T172" s="10">
        <f t="shared" si="8"/>
        <v>30.96538667</v>
      </c>
      <c r="U172" s="10">
        <f t="shared" si="9"/>
        <v>77.41346667</v>
      </c>
      <c r="V172" s="10">
        <f t="shared" si="28"/>
        <v>290.3005</v>
      </c>
      <c r="W172" s="10">
        <f t="shared" si="11"/>
        <v>23.22404</v>
      </c>
      <c r="X172" s="10">
        <f t="shared" si="12"/>
        <v>58.0601</v>
      </c>
      <c r="Y172" s="10">
        <f t="shared" si="29"/>
        <v>10.9</v>
      </c>
      <c r="Z172" s="51">
        <f t="shared" si="14"/>
        <v>1940.855827</v>
      </c>
      <c r="AA172" s="57">
        <v>2188.01</v>
      </c>
      <c r="AB172" s="15">
        <f t="shared" si="15"/>
        <v>7613.865827</v>
      </c>
      <c r="AC172" s="18"/>
    </row>
    <row r="173" ht="18.75" customHeight="1">
      <c r="A173" s="54" t="s">
        <v>419</v>
      </c>
      <c r="B173" s="54" t="s">
        <v>242</v>
      </c>
      <c r="C173" s="53" t="s">
        <v>277</v>
      </c>
      <c r="D173" s="46"/>
      <c r="E173" s="47" t="s">
        <v>429</v>
      </c>
      <c r="F173" s="48"/>
      <c r="G173" s="49">
        <v>0.0</v>
      </c>
      <c r="H173" s="12"/>
      <c r="I173" s="12"/>
      <c r="J173" s="12"/>
      <c r="K173" s="12"/>
      <c r="L173" s="12"/>
      <c r="M173" s="50">
        <f t="shared" si="24"/>
        <v>0</v>
      </c>
      <c r="N173" s="10">
        <f t="shared" si="2"/>
        <v>0</v>
      </c>
      <c r="O173" s="10">
        <f t="shared" si="25"/>
        <v>0</v>
      </c>
      <c r="P173" s="10">
        <f t="shared" si="26"/>
        <v>0</v>
      </c>
      <c r="Q173" s="10">
        <f t="shared" si="5"/>
        <v>0</v>
      </c>
      <c r="R173" s="10">
        <f t="shared" si="27"/>
        <v>0</v>
      </c>
      <c r="S173" s="10">
        <f t="shared" si="7"/>
        <v>0</v>
      </c>
      <c r="T173" s="10">
        <f t="shared" si="8"/>
        <v>0</v>
      </c>
      <c r="U173" s="10">
        <f t="shared" si="9"/>
        <v>0</v>
      </c>
      <c r="V173" s="10">
        <f t="shared" si="28"/>
        <v>0</v>
      </c>
      <c r="W173" s="10">
        <f t="shared" si="11"/>
        <v>0</v>
      </c>
      <c r="X173" s="10">
        <f t="shared" si="12"/>
        <v>0</v>
      </c>
      <c r="Y173" s="10">
        <f t="shared" si="29"/>
        <v>0</v>
      </c>
      <c r="Z173" s="51">
        <f t="shared" si="14"/>
        <v>0</v>
      </c>
      <c r="AA173" s="52"/>
      <c r="AB173" s="15">
        <f t="shared" si="15"/>
        <v>0</v>
      </c>
      <c r="AC173" s="18"/>
    </row>
    <row r="174" ht="18.75" customHeight="1">
      <c r="A174" s="54" t="s">
        <v>419</v>
      </c>
      <c r="B174" s="54" t="s">
        <v>242</v>
      </c>
      <c r="C174" s="45" t="s">
        <v>329</v>
      </c>
      <c r="D174" s="46" t="s">
        <v>249</v>
      </c>
      <c r="E174" s="47" t="s">
        <v>430</v>
      </c>
      <c r="F174" s="48">
        <v>45661.0</v>
      </c>
      <c r="G174" s="49">
        <v>3150.0</v>
      </c>
      <c r="H174" s="12"/>
      <c r="I174" s="12"/>
      <c r="J174" s="12"/>
      <c r="K174" s="12"/>
      <c r="L174" s="12"/>
      <c r="M174" s="50">
        <f t="shared" si="24"/>
        <v>3150</v>
      </c>
      <c r="N174" s="10">
        <f t="shared" si="2"/>
        <v>630</v>
      </c>
      <c r="O174" s="10">
        <f t="shared" si="25"/>
        <v>31.5</v>
      </c>
      <c r="P174" s="10">
        <f t="shared" si="26"/>
        <v>47.25</v>
      </c>
      <c r="Q174" s="10">
        <f t="shared" si="5"/>
        <v>252</v>
      </c>
      <c r="R174" s="10">
        <f t="shared" si="27"/>
        <v>262.395</v>
      </c>
      <c r="S174" s="10">
        <f t="shared" si="7"/>
        <v>87.465</v>
      </c>
      <c r="T174" s="10">
        <f t="shared" si="8"/>
        <v>27.9888</v>
      </c>
      <c r="U174" s="10">
        <f t="shared" si="9"/>
        <v>69.972</v>
      </c>
      <c r="V174" s="10">
        <f t="shared" si="28"/>
        <v>262.395</v>
      </c>
      <c r="W174" s="10">
        <f t="shared" si="11"/>
        <v>20.9916</v>
      </c>
      <c r="X174" s="10">
        <f t="shared" si="12"/>
        <v>52.479</v>
      </c>
      <c r="Y174" s="10">
        <f t="shared" si="29"/>
        <v>31</v>
      </c>
      <c r="Z174" s="51">
        <f t="shared" si="14"/>
        <v>1775.4364</v>
      </c>
      <c r="AA174" s="52"/>
      <c r="AB174" s="15">
        <f t="shared" si="15"/>
        <v>4925.4364</v>
      </c>
      <c r="AC174" s="18"/>
    </row>
    <row r="175" ht="18.75" customHeight="1">
      <c r="A175" s="54" t="s">
        <v>382</v>
      </c>
      <c r="B175" s="54" t="s">
        <v>215</v>
      </c>
      <c r="C175" s="45" t="s">
        <v>329</v>
      </c>
      <c r="D175" s="46" t="s">
        <v>431</v>
      </c>
      <c r="E175" s="47" t="s">
        <v>432</v>
      </c>
      <c r="F175" s="48">
        <v>46042.0</v>
      </c>
      <c r="G175" s="49">
        <v>3065.0</v>
      </c>
      <c r="H175" s="12"/>
      <c r="I175" s="12"/>
      <c r="J175" s="12"/>
      <c r="K175" s="12"/>
      <c r="L175" s="12"/>
      <c r="M175" s="50">
        <f t="shared" si="24"/>
        <v>3065</v>
      </c>
      <c r="N175" s="10">
        <f t="shared" si="2"/>
        <v>613</v>
      </c>
      <c r="O175" s="10">
        <f t="shared" si="25"/>
        <v>30.65</v>
      </c>
      <c r="P175" s="10">
        <f t="shared" si="26"/>
        <v>45.975</v>
      </c>
      <c r="Q175" s="10">
        <f t="shared" si="5"/>
        <v>245.2</v>
      </c>
      <c r="R175" s="10">
        <f t="shared" si="27"/>
        <v>255.3145</v>
      </c>
      <c r="S175" s="10">
        <f t="shared" si="7"/>
        <v>85.10483333</v>
      </c>
      <c r="T175" s="10">
        <f t="shared" si="8"/>
        <v>27.23354667</v>
      </c>
      <c r="U175" s="10">
        <f t="shared" si="9"/>
        <v>68.08386667</v>
      </c>
      <c r="V175" s="10">
        <f t="shared" si="28"/>
        <v>255.3145</v>
      </c>
      <c r="W175" s="10">
        <f t="shared" si="11"/>
        <v>20.42516</v>
      </c>
      <c r="X175" s="10">
        <f t="shared" si="12"/>
        <v>51.0629</v>
      </c>
      <c r="Y175" s="10">
        <f t="shared" si="29"/>
        <v>36.1</v>
      </c>
      <c r="Z175" s="51">
        <f t="shared" si="14"/>
        <v>1733.464307</v>
      </c>
      <c r="AA175" s="52"/>
      <c r="AB175" s="15">
        <f t="shared" si="15"/>
        <v>4798.464307</v>
      </c>
      <c r="AC175" s="18"/>
    </row>
    <row r="176" ht="18.75" customHeight="1">
      <c r="A176" s="54" t="s">
        <v>382</v>
      </c>
      <c r="B176" s="54" t="s">
        <v>215</v>
      </c>
      <c r="C176" s="45" t="s">
        <v>329</v>
      </c>
      <c r="D176" s="46" t="s">
        <v>221</v>
      </c>
      <c r="E176" s="47" t="s">
        <v>432</v>
      </c>
      <c r="F176" s="48">
        <v>45112.0</v>
      </c>
      <c r="G176" s="49">
        <v>3065.0</v>
      </c>
      <c r="H176" s="12"/>
      <c r="I176" s="12"/>
      <c r="J176" s="12"/>
      <c r="K176" s="12"/>
      <c r="L176" s="12"/>
      <c r="M176" s="50">
        <f t="shared" si="24"/>
        <v>3065</v>
      </c>
      <c r="N176" s="10">
        <f t="shared" si="2"/>
        <v>613</v>
      </c>
      <c r="O176" s="10">
        <f t="shared" si="25"/>
        <v>30.65</v>
      </c>
      <c r="P176" s="10">
        <f t="shared" si="26"/>
        <v>45.975</v>
      </c>
      <c r="Q176" s="10">
        <f t="shared" si="5"/>
        <v>245.2</v>
      </c>
      <c r="R176" s="10">
        <f t="shared" si="27"/>
        <v>255.3145</v>
      </c>
      <c r="S176" s="10">
        <f t="shared" si="7"/>
        <v>85.10483333</v>
      </c>
      <c r="T176" s="10">
        <f t="shared" si="8"/>
        <v>27.23354667</v>
      </c>
      <c r="U176" s="10">
        <f t="shared" si="9"/>
        <v>68.08386667</v>
      </c>
      <c r="V176" s="10">
        <f t="shared" si="28"/>
        <v>255.3145</v>
      </c>
      <c r="W176" s="10">
        <f t="shared" si="11"/>
        <v>20.42516</v>
      </c>
      <c r="X176" s="10">
        <f t="shared" si="12"/>
        <v>51.0629</v>
      </c>
      <c r="Y176" s="10">
        <f t="shared" si="29"/>
        <v>36.1</v>
      </c>
      <c r="Z176" s="51">
        <f t="shared" si="14"/>
        <v>1733.464307</v>
      </c>
      <c r="AA176" s="52"/>
      <c r="AB176" s="15">
        <f t="shared" si="15"/>
        <v>4798.464307</v>
      </c>
      <c r="AC176" s="18"/>
    </row>
    <row r="177" ht="18.75" customHeight="1">
      <c r="A177" s="54" t="s">
        <v>382</v>
      </c>
      <c r="B177" s="54" t="s">
        <v>215</v>
      </c>
      <c r="C177" s="45" t="s">
        <v>329</v>
      </c>
      <c r="D177" s="46" t="s">
        <v>433</v>
      </c>
      <c r="E177" s="47" t="s">
        <v>432</v>
      </c>
      <c r="F177" s="48">
        <v>45861.0</v>
      </c>
      <c r="G177" s="49">
        <v>3065.0</v>
      </c>
      <c r="H177" s="12"/>
      <c r="I177" s="12"/>
      <c r="J177" s="12"/>
      <c r="K177" s="12"/>
      <c r="L177" s="12"/>
      <c r="M177" s="50">
        <f t="shared" si="24"/>
        <v>3065</v>
      </c>
      <c r="N177" s="10">
        <f t="shared" si="2"/>
        <v>613</v>
      </c>
      <c r="O177" s="10">
        <f t="shared" si="25"/>
        <v>30.65</v>
      </c>
      <c r="P177" s="10">
        <f t="shared" si="26"/>
        <v>45.975</v>
      </c>
      <c r="Q177" s="10">
        <f t="shared" si="5"/>
        <v>245.2</v>
      </c>
      <c r="R177" s="10">
        <f t="shared" si="27"/>
        <v>255.3145</v>
      </c>
      <c r="S177" s="10">
        <f t="shared" si="7"/>
        <v>85.10483333</v>
      </c>
      <c r="T177" s="10">
        <f t="shared" si="8"/>
        <v>27.23354667</v>
      </c>
      <c r="U177" s="10">
        <f t="shared" si="9"/>
        <v>68.08386667</v>
      </c>
      <c r="V177" s="10">
        <f t="shared" si="28"/>
        <v>255.3145</v>
      </c>
      <c r="W177" s="10">
        <f t="shared" si="11"/>
        <v>20.42516</v>
      </c>
      <c r="X177" s="10">
        <f t="shared" si="12"/>
        <v>51.0629</v>
      </c>
      <c r="Y177" s="10">
        <f t="shared" si="29"/>
        <v>36.1</v>
      </c>
      <c r="Z177" s="51">
        <f t="shared" si="14"/>
        <v>1733.464307</v>
      </c>
      <c r="AA177" s="52"/>
      <c r="AB177" s="15">
        <f t="shared" si="15"/>
        <v>4798.464307</v>
      </c>
      <c r="AC177" s="18"/>
    </row>
    <row r="178" ht="18.75" customHeight="1">
      <c r="A178" s="54" t="s">
        <v>382</v>
      </c>
      <c r="B178" s="54" t="s">
        <v>215</v>
      </c>
      <c r="C178" s="45" t="s">
        <v>329</v>
      </c>
      <c r="D178" s="46" t="s">
        <v>434</v>
      </c>
      <c r="E178" s="47" t="s">
        <v>435</v>
      </c>
      <c r="F178" s="48">
        <v>45968.0</v>
      </c>
      <c r="G178" s="49">
        <v>2555.0</v>
      </c>
      <c r="H178" s="12"/>
      <c r="I178" s="12"/>
      <c r="J178" s="12"/>
      <c r="K178" s="12"/>
      <c r="L178" s="12"/>
      <c r="M178" s="50">
        <f t="shared" si="24"/>
        <v>2555</v>
      </c>
      <c r="N178" s="10">
        <f t="shared" si="2"/>
        <v>511</v>
      </c>
      <c r="O178" s="10">
        <f t="shared" si="25"/>
        <v>25.55</v>
      </c>
      <c r="P178" s="10">
        <f t="shared" si="26"/>
        <v>38.325</v>
      </c>
      <c r="Q178" s="10">
        <f t="shared" si="5"/>
        <v>204.4</v>
      </c>
      <c r="R178" s="10">
        <f t="shared" si="27"/>
        <v>212.8315</v>
      </c>
      <c r="S178" s="10">
        <f t="shared" si="7"/>
        <v>70.94383333</v>
      </c>
      <c r="T178" s="10">
        <f t="shared" si="8"/>
        <v>22.70202667</v>
      </c>
      <c r="U178" s="10">
        <f t="shared" si="9"/>
        <v>56.75506667</v>
      </c>
      <c r="V178" s="10">
        <f t="shared" si="28"/>
        <v>212.8315</v>
      </c>
      <c r="W178" s="10">
        <f t="shared" si="11"/>
        <v>17.02652</v>
      </c>
      <c r="X178" s="10">
        <f t="shared" si="12"/>
        <v>42.5663</v>
      </c>
      <c r="Y178" s="10">
        <f t="shared" si="29"/>
        <v>66.7</v>
      </c>
      <c r="Z178" s="51">
        <f t="shared" si="14"/>
        <v>1481.631747</v>
      </c>
      <c r="AA178" s="52"/>
      <c r="AB178" s="15">
        <f t="shared" si="15"/>
        <v>4036.631747</v>
      </c>
      <c r="AC178" s="18"/>
    </row>
    <row r="179" ht="18.75" customHeight="1">
      <c r="A179" s="54" t="s">
        <v>382</v>
      </c>
      <c r="B179" s="54" t="s">
        <v>215</v>
      </c>
      <c r="C179" s="45" t="s">
        <v>351</v>
      </c>
      <c r="D179" s="46" t="s">
        <v>436</v>
      </c>
      <c r="E179" s="47" t="s">
        <v>260</v>
      </c>
      <c r="F179" s="48">
        <v>45845.0</v>
      </c>
      <c r="G179" s="49">
        <v>966.43</v>
      </c>
      <c r="H179" s="12"/>
      <c r="I179" s="12"/>
      <c r="J179" s="12"/>
      <c r="K179" s="12"/>
      <c r="L179" s="12"/>
      <c r="M179" s="50">
        <f t="shared" si="24"/>
        <v>966.43</v>
      </c>
      <c r="N179" s="10">
        <f t="shared" si="2"/>
        <v>193.286</v>
      </c>
      <c r="O179" s="10">
        <f t="shared" si="25"/>
        <v>9.6643</v>
      </c>
      <c r="P179" s="10">
        <f t="shared" si="26"/>
        <v>14.49645</v>
      </c>
      <c r="Q179" s="10">
        <f t="shared" si="5"/>
        <v>77.3144</v>
      </c>
      <c r="R179" s="10">
        <f t="shared" si="27"/>
        <v>80.503619</v>
      </c>
      <c r="S179" s="10">
        <f t="shared" si="7"/>
        <v>26.83453967</v>
      </c>
      <c r="T179" s="10">
        <f t="shared" si="8"/>
        <v>8.587052693</v>
      </c>
      <c r="U179" s="10">
        <f t="shared" si="9"/>
        <v>21.46763173</v>
      </c>
      <c r="V179" s="10">
        <f t="shared" si="28"/>
        <v>80.503619</v>
      </c>
      <c r="W179" s="10">
        <f t="shared" si="11"/>
        <v>6.44028952</v>
      </c>
      <c r="X179" s="10">
        <f t="shared" si="12"/>
        <v>16.1007238</v>
      </c>
      <c r="Y179" s="10">
        <f t="shared" si="29"/>
        <v>162.0142</v>
      </c>
      <c r="Z179" s="51">
        <f t="shared" si="14"/>
        <v>697.2128254</v>
      </c>
      <c r="AA179" s="52"/>
      <c r="AB179" s="15">
        <f t="shared" si="15"/>
        <v>1663.642825</v>
      </c>
      <c r="AC179" s="18"/>
    </row>
    <row r="180" ht="18.75" customHeight="1">
      <c r="A180" s="54" t="s">
        <v>382</v>
      </c>
      <c r="B180" s="54" t="s">
        <v>210</v>
      </c>
      <c r="C180" s="45" t="s">
        <v>329</v>
      </c>
      <c r="D180" s="46" t="s">
        <v>212</v>
      </c>
      <c r="E180" s="47" t="s">
        <v>437</v>
      </c>
      <c r="F180" s="48">
        <v>44162.0</v>
      </c>
      <c r="G180" s="49">
        <v>3410.0</v>
      </c>
      <c r="H180" s="12">
        <f>G180*40%</f>
        <v>1364</v>
      </c>
      <c r="I180" s="12"/>
      <c r="J180" s="12"/>
      <c r="K180" s="12"/>
      <c r="L180" s="12">
        <f>G180*2%</f>
        <v>68.2</v>
      </c>
      <c r="M180" s="50">
        <f t="shared" si="24"/>
        <v>4842.2</v>
      </c>
      <c r="N180" s="10">
        <f t="shared" si="2"/>
        <v>968.44</v>
      </c>
      <c r="O180" s="10">
        <f t="shared" si="25"/>
        <v>34.1</v>
      </c>
      <c r="P180" s="10">
        <f t="shared" si="26"/>
        <v>51.15</v>
      </c>
      <c r="Q180" s="10">
        <f t="shared" si="5"/>
        <v>387.376</v>
      </c>
      <c r="R180" s="10">
        <f t="shared" si="27"/>
        <v>284.053</v>
      </c>
      <c r="S180" s="10">
        <f t="shared" si="7"/>
        <v>94.68433333</v>
      </c>
      <c r="T180" s="10">
        <f t="shared" si="8"/>
        <v>30.29898667</v>
      </c>
      <c r="U180" s="10">
        <f t="shared" si="9"/>
        <v>75.74746667</v>
      </c>
      <c r="V180" s="10">
        <f t="shared" si="28"/>
        <v>284.053</v>
      </c>
      <c r="W180" s="10">
        <f t="shared" si="11"/>
        <v>22.72424</v>
      </c>
      <c r="X180" s="10">
        <f t="shared" si="12"/>
        <v>56.8106</v>
      </c>
      <c r="Y180" s="10">
        <f t="shared" si="29"/>
        <v>15.4</v>
      </c>
      <c r="Z180" s="51">
        <f t="shared" si="14"/>
        <v>2304.837627</v>
      </c>
      <c r="AA180" s="52"/>
      <c r="AB180" s="15">
        <f t="shared" si="15"/>
        <v>7147.037627</v>
      </c>
      <c r="AC180" s="18"/>
    </row>
    <row r="181" ht="18.75" customHeight="1">
      <c r="A181" s="54" t="s">
        <v>382</v>
      </c>
      <c r="B181" s="54" t="s">
        <v>210</v>
      </c>
      <c r="C181" s="45" t="s">
        <v>329</v>
      </c>
      <c r="D181" s="46" t="s">
        <v>214</v>
      </c>
      <c r="E181" s="47" t="s">
        <v>438</v>
      </c>
      <c r="F181" s="48">
        <v>44474.0</v>
      </c>
      <c r="G181" s="49">
        <v>2650.0</v>
      </c>
      <c r="H181" s="12"/>
      <c r="I181" s="12"/>
      <c r="J181" s="12">
        <f>G181*10%</f>
        <v>265</v>
      </c>
      <c r="K181" s="12"/>
      <c r="L181" s="12"/>
      <c r="M181" s="50">
        <f t="shared" si="24"/>
        <v>2915</v>
      </c>
      <c r="N181" s="10">
        <f t="shared" si="2"/>
        <v>583</v>
      </c>
      <c r="O181" s="10">
        <f t="shared" si="25"/>
        <v>26.5</v>
      </c>
      <c r="P181" s="10">
        <f t="shared" si="26"/>
        <v>39.75</v>
      </c>
      <c r="Q181" s="10">
        <f t="shared" si="5"/>
        <v>233.2</v>
      </c>
      <c r="R181" s="10">
        <f t="shared" si="27"/>
        <v>220.745</v>
      </c>
      <c r="S181" s="10">
        <f t="shared" si="7"/>
        <v>73.58166667</v>
      </c>
      <c r="T181" s="10">
        <f t="shared" si="8"/>
        <v>23.54613333</v>
      </c>
      <c r="U181" s="10">
        <f t="shared" si="9"/>
        <v>58.86533333</v>
      </c>
      <c r="V181" s="10">
        <f t="shared" si="28"/>
        <v>220.745</v>
      </c>
      <c r="W181" s="10">
        <f t="shared" si="11"/>
        <v>17.6596</v>
      </c>
      <c r="X181" s="10">
        <f t="shared" si="12"/>
        <v>44.149</v>
      </c>
      <c r="Y181" s="10">
        <f t="shared" si="29"/>
        <v>61</v>
      </c>
      <c r="Z181" s="51">
        <f t="shared" si="14"/>
        <v>1602.741733</v>
      </c>
      <c r="AA181" s="52"/>
      <c r="AB181" s="15">
        <f t="shared" si="15"/>
        <v>4517.741733</v>
      </c>
      <c r="AC181" s="18"/>
    </row>
    <row r="182" ht="18.75" customHeight="1">
      <c r="A182" s="54" t="s">
        <v>382</v>
      </c>
      <c r="B182" s="54" t="s">
        <v>210</v>
      </c>
      <c r="C182" s="45" t="s">
        <v>329</v>
      </c>
      <c r="D182" s="46" t="s">
        <v>439</v>
      </c>
      <c r="E182" s="47" t="s">
        <v>260</v>
      </c>
      <c r="F182" s="48">
        <v>45845.0</v>
      </c>
      <c r="G182" s="49">
        <v>966.43</v>
      </c>
      <c r="H182" s="12"/>
      <c r="I182" s="12"/>
      <c r="J182" s="12"/>
      <c r="K182" s="12"/>
      <c r="L182" s="12"/>
      <c r="M182" s="50">
        <f t="shared" si="24"/>
        <v>966.43</v>
      </c>
      <c r="N182" s="10">
        <f t="shared" si="2"/>
        <v>193.286</v>
      </c>
      <c r="O182" s="10">
        <f t="shared" si="25"/>
        <v>9.6643</v>
      </c>
      <c r="P182" s="10">
        <f t="shared" si="26"/>
        <v>14.49645</v>
      </c>
      <c r="Q182" s="10">
        <f t="shared" si="5"/>
        <v>77.3144</v>
      </c>
      <c r="R182" s="10">
        <f t="shared" si="27"/>
        <v>80.503619</v>
      </c>
      <c r="S182" s="10">
        <f t="shared" si="7"/>
        <v>26.83453967</v>
      </c>
      <c r="T182" s="10">
        <f t="shared" si="8"/>
        <v>8.587052693</v>
      </c>
      <c r="U182" s="10">
        <f t="shared" si="9"/>
        <v>21.46763173</v>
      </c>
      <c r="V182" s="10">
        <f t="shared" si="28"/>
        <v>80.503619</v>
      </c>
      <c r="W182" s="10">
        <f t="shared" si="11"/>
        <v>6.44028952</v>
      </c>
      <c r="X182" s="10">
        <f t="shared" si="12"/>
        <v>16.1007238</v>
      </c>
      <c r="Y182" s="10">
        <f t="shared" si="29"/>
        <v>162.0142</v>
      </c>
      <c r="Z182" s="51">
        <f t="shared" si="14"/>
        <v>697.2128254</v>
      </c>
      <c r="AA182" s="52"/>
      <c r="AB182" s="15">
        <f t="shared" si="15"/>
        <v>1663.642825</v>
      </c>
      <c r="AC182" s="18"/>
    </row>
    <row r="183" ht="18.75" customHeight="1">
      <c r="A183" s="54" t="s">
        <v>382</v>
      </c>
      <c r="B183" s="54" t="s">
        <v>440</v>
      </c>
      <c r="C183" s="45" t="s">
        <v>351</v>
      </c>
      <c r="D183" s="46" t="s">
        <v>441</v>
      </c>
      <c r="E183" s="47" t="s">
        <v>442</v>
      </c>
      <c r="F183" s="48">
        <v>45889.0</v>
      </c>
      <c r="G183" s="49">
        <v>2344.1</v>
      </c>
      <c r="H183" s="12"/>
      <c r="I183" s="12"/>
      <c r="J183" s="12"/>
      <c r="K183" s="59">
        <v>781.37</v>
      </c>
      <c r="L183" s="12"/>
      <c r="M183" s="50">
        <f t="shared" si="24"/>
        <v>3125.47</v>
      </c>
      <c r="N183" s="10">
        <f t="shared" si="2"/>
        <v>625.094</v>
      </c>
      <c r="O183" s="10">
        <f t="shared" si="25"/>
        <v>23.441</v>
      </c>
      <c r="P183" s="10">
        <f t="shared" si="26"/>
        <v>35.1615</v>
      </c>
      <c r="Q183" s="10">
        <f t="shared" si="5"/>
        <v>250.0376</v>
      </c>
      <c r="R183" s="10">
        <f t="shared" si="27"/>
        <v>195.26353</v>
      </c>
      <c r="S183" s="10">
        <f t="shared" si="7"/>
        <v>65.08784333</v>
      </c>
      <c r="T183" s="10">
        <f t="shared" si="8"/>
        <v>20.82810987</v>
      </c>
      <c r="U183" s="10">
        <f t="shared" si="9"/>
        <v>52.07027467</v>
      </c>
      <c r="V183" s="10">
        <f t="shared" si="28"/>
        <v>195.26353</v>
      </c>
      <c r="W183" s="10">
        <f t="shared" si="11"/>
        <v>15.6210824</v>
      </c>
      <c r="X183" s="10">
        <f t="shared" si="12"/>
        <v>39.052706</v>
      </c>
      <c r="Y183" s="10">
        <f t="shared" si="29"/>
        <v>79.354</v>
      </c>
      <c r="Z183" s="51">
        <f t="shared" si="14"/>
        <v>1596.275176</v>
      </c>
      <c r="AA183" s="52"/>
      <c r="AB183" s="15">
        <f t="shared" si="15"/>
        <v>4721.745176</v>
      </c>
      <c r="AC183" s="18"/>
    </row>
    <row r="184" ht="18.75" customHeight="1">
      <c r="A184" s="54" t="s">
        <v>382</v>
      </c>
      <c r="B184" s="54" t="s">
        <v>440</v>
      </c>
      <c r="C184" s="45" t="s">
        <v>351</v>
      </c>
      <c r="D184" s="46" t="s">
        <v>443</v>
      </c>
      <c r="E184" s="47" t="s">
        <v>444</v>
      </c>
      <c r="F184" s="48">
        <v>45839.0</v>
      </c>
      <c r="G184" s="49">
        <v>2800.0</v>
      </c>
      <c r="H184" s="12"/>
      <c r="I184" s="12"/>
      <c r="J184" s="12"/>
      <c r="K184" s="12"/>
      <c r="L184" s="12"/>
      <c r="M184" s="50">
        <f t="shared" si="24"/>
        <v>2800</v>
      </c>
      <c r="N184" s="10">
        <f t="shared" si="2"/>
        <v>560</v>
      </c>
      <c r="O184" s="10">
        <f t="shared" si="25"/>
        <v>28</v>
      </c>
      <c r="P184" s="10">
        <f t="shared" si="26"/>
        <v>42</v>
      </c>
      <c r="Q184" s="10">
        <f t="shared" si="5"/>
        <v>224</v>
      </c>
      <c r="R184" s="10">
        <f t="shared" si="27"/>
        <v>233.24</v>
      </c>
      <c r="S184" s="10">
        <f t="shared" si="7"/>
        <v>77.74666667</v>
      </c>
      <c r="T184" s="10">
        <f t="shared" si="8"/>
        <v>24.87893333</v>
      </c>
      <c r="U184" s="10">
        <f t="shared" si="9"/>
        <v>62.19733333</v>
      </c>
      <c r="V184" s="10">
        <f t="shared" si="28"/>
        <v>233.24</v>
      </c>
      <c r="W184" s="10">
        <f t="shared" si="11"/>
        <v>18.6592</v>
      </c>
      <c r="X184" s="10">
        <f t="shared" si="12"/>
        <v>46.648</v>
      </c>
      <c r="Y184" s="10">
        <f t="shared" si="29"/>
        <v>52</v>
      </c>
      <c r="Z184" s="51">
        <f t="shared" si="14"/>
        <v>1602.610133</v>
      </c>
      <c r="AA184" s="52"/>
      <c r="AB184" s="15">
        <f t="shared" si="15"/>
        <v>4402.610133</v>
      </c>
      <c r="AC184" s="18"/>
    </row>
    <row r="185" ht="18.75" customHeight="1">
      <c r="A185" s="54" t="s">
        <v>382</v>
      </c>
      <c r="B185" s="54" t="s">
        <v>445</v>
      </c>
      <c r="C185" s="45" t="s">
        <v>351</v>
      </c>
      <c r="D185" s="46" t="s">
        <v>446</v>
      </c>
      <c r="E185" s="47" t="s">
        <v>260</v>
      </c>
      <c r="F185" s="48">
        <v>45915.0</v>
      </c>
      <c r="G185" s="49">
        <v>966.43</v>
      </c>
      <c r="H185" s="12"/>
      <c r="I185" s="12"/>
      <c r="J185" s="12"/>
      <c r="K185" s="12"/>
      <c r="L185" s="12"/>
      <c r="M185" s="50">
        <f t="shared" si="24"/>
        <v>966.43</v>
      </c>
      <c r="N185" s="10">
        <f t="shared" si="2"/>
        <v>193.286</v>
      </c>
      <c r="O185" s="10">
        <f t="shared" si="25"/>
        <v>9.6643</v>
      </c>
      <c r="P185" s="10">
        <f t="shared" si="26"/>
        <v>14.49645</v>
      </c>
      <c r="Q185" s="10">
        <f t="shared" si="5"/>
        <v>77.3144</v>
      </c>
      <c r="R185" s="10">
        <f t="shared" si="27"/>
        <v>80.503619</v>
      </c>
      <c r="S185" s="10">
        <f t="shared" si="7"/>
        <v>26.83453967</v>
      </c>
      <c r="T185" s="10">
        <f t="shared" si="8"/>
        <v>8.587052693</v>
      </c>
      <c r="U185" s="10">
        <f t="shared" si="9"/>
        <v>21.46763173</v>
      </c>
      <c r="V185" s="10">
        <f t="shared" si="28"/>
        <v>80.503619</v>
      </c>
      <c r="W185" s="10">
        <f t="shared" si="11"/>
        <v>6.44028952</v>
      </c>
      <c r="X185" s="10">
        <f t="shared" si="12"/>
        <v>16.1007238</v>
      </c>
      <c r="Y185" s="10">
        <f t="shared" si="29"/>
        <v>162.0142</v>
      </c>
      <c r="Z185" s="51">
        <f t="shared" si="14"/>
        <v>697.2128254</v>
      </c>
      <c r="AA185" s="52"/>
      <c r="AB185" s="15">
        <f t="shared" si="15"/>
        <v>1663.642825</v>
      </c>
      <c r="AC185" s="18"/>
    </row>
    <row r="186" ht="18.75" customHeight="1">
      <c r="A186" s="1" t="s">
        <v>24</v>
      </c>
      <c r="B186" s="1"/>
      <c r="C186" s="1"/>
      <c r="D186" s="39"/>
      <c r="E186" s="39"/>
      <c r="F186" s="39"/>
      <c r="G186" s="61">
        <f t="shared" ref="G186:AB186" si="36">SUM(G2:G184)</f>
        <v>398393.27</v>
      </c>
      <c r="H186" s="61">
        <f t="shared" si="36"/>
        <v>18168</v>
      </c>
      <c r="I186" s="62">
        <f t="shared" si="36"/>
        <v>2261.92</v>
      </c>
      <c r="J186" s="62">
        <f t="shared" si="36"/>
        <v>8672.02</v>
      </c>
      <c r="K186" s="62">
        <f t="shared" si="36"/>
        <v>1438.37</v>
      </c>
      <c r="L186" s="62">
        <f t="shared" si="36"/>
        <v>639.32</v>
      </c>
      <c r="M186" s="39" t="str">
        <f t="shared" si="36"/>
        <v>#REF!</v>
      </c>
      <c r="N186" s="40" t="str">
        <f t="shared" si="36"/>
        <v>#REF!</v>
      </c>
      <c r="O186" s="40" t="str">
        <f t="shared" si="36"/>
        <v>#REF!</v>
      </c>
      <c r="P186" s="40" t="str">
        <f t="shared" si="36"/>
        <v>#REF!</v>
      </c>
      <c r="Q186" s="40" t="str">
        <f t="shared" si="36"/>
        <v>#REF!</v>
      </c>
      <c r="R186" s="40" t="str">
        <f t="shared" si="36"/>
        <v>#REF!</v>
      </c>
      <c r="S186" s="40" t="str">
        <f t="shared" si="36"/>
        <v>#REF!</v>
      </c>
      <c r="T186" s="40" t="str">
        <f t="shared" si="36"/>
        <v>#REF!</v>
      </c>
      <c r="U186" s="40" t="str">
        <f t="shared" si="36"/>
        <v>#REF!</v>
      </c>
      <c r="V186" s="40" t="str">
        <f t="shared" si="36"/>
        <v>#REF!</v>
      </c>
      <c r="W186" s="40" t="str">
        <f t="shared" si="36"/>
        <v>#REF!</v>
      </c>
      <c r="X186" s="40" t="str">
        <f t="shared" si="36"/>
        <v>#REF!</v>
      </c>
      <c r="Y186" s="40" t="str">
        <f t="shared" si="36"/>
        <v>#REF!</v>
      </c>
      <c r="Z186" s="41" t="str">
        <f t="shared" si="36"/>
        <v>#REF!</v>
      </c>
      <c r="AA186" s="63">
        <f t="shared" si="36"/>
        <v>32206.5</v>
      </c>
      <c r="AB186" s="43" t="str">
        <f t="shared" si="36"/>
        <v>#REF!</v>
      </c>
      <c r="AC186" s="7"/>
    </row>
  </sheetData>
  <autoFilter ref="$A$1:$AC$186">
    <sortState ref="A1:AC186">
      <sortCondition ref="A1:A186"/>
      <sortCondition ref="B1:B186"/>
    </sortState>
  </autoFilter>
  <customSheetViews>
    <customSheetView guid="{D474B588-405A-4F0B-8E86-0666E7DB22FC}" filter="1" showAutoFilter="1">
      <autoFilter ref="$A$1:$AC$186"/>
      <extLst>
        <ext uri="GoogleSheetsCustomDataVersion1">
          <go:sheetsCustomData xmlns:go="http://customooxmlschemas.google.com/" filterViewId="1569256338"/>
        </ext>
      </extLst>
    </customSheetView>
    <customSheetView guid="{D17A1E91-FA4A-416D-8100-63E6BD60A270}" filter="1" showAutoFilter="1">
      <autoFilter ref="$A$1:$AC$186"/>
      <extLst>
        <ext uri="GoogleSheetsCustomDataVersion1">
          <go:sheetsCustomData xmlns:go="http://customooxmlschemas.google.com/" filterViewId="1778695012"/>
        </ext>
      </extLst>
    </customSheetView>
    <customSheetView guid="{B529DE61-640C-4C0E-AF1C-13B51991ADCC}" filter="1" showAutoFilter="1">
      <autoFilter ref="$A$1:$AC$186"/>
      <extLst>
        <ext uri="GoogleSheetsCustomDataVersion1">
          <go:sheetsCustomData xmlns:go="http://customooxmlschemas.google.com/" filterViewId="2079379169"/>
        </ext>
      </extLst>
    </customSheetView>
    <customSheetView guid="{5A772858-650A-4E11-9DFD-FC0388A9BE6C}" filter="1" showAutoFilter="1">
      <autoFilter ref="$A$1:$AC$186"/>
      <extLst>
        <ext uri="GoogleSheetsCustomDataVersion1">
          <go:sheetsCustomData xmlns:go="http://customooxmlschemas.google.com/" filterViewId="756612340"/>
        </ext>
      </extLst>
    </customSheetView>
    <customSheetView guid="{6CAE029E-8EC2-43E4-953B-CDDDFCCCAF9D}" filter="1" showAutoFilter="1">
      <autoFilter ref="$A$1:$AC$186"/>
      <extLst>
        <ext uri="GoogleSheetsCustomDataVersion1">
          <go:sheetsCustomData xmlns:go="http://customooxmlschemas.google.com/" filterViewId="917178685"/>
        </ext>
      </extLst>
    </customSheetView>
  </customSheetView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25"/>
    <col customWidth="1" min="2" max="13" width="17.88"/>
  </cols>
  <sheetData>
    <row r="1" ht="21.0" customHeight="1">
      <c r="A1" s="64" t="s">
        <v>447</v>
      </c>
      <c r="B1" s="64" t="s">
        <v>448</v>
      </c>
      <c r="C1" s="64" t="s">
        <v>449</v>
      </c>
      <c r="D1" s="64" t="s">
        <v>450</v>
      </c>
      <c r="E1" s="64" t="s">
        <v>451</v>
      </c>
      <c r="F1" s="64" t="s">
        <v>452</v>
      </c>
      <c r="G1" s="64" t="s">
        <v>453</v>
      </c>
      <c r="H1" s="64" t="s">
        <v>454</v>
      </c>
      <c r="I1" s="64" t="s">
        <v>455</v>
      </c>
      <c r="J1" s="64" t="s">
        <v>456</v>
      </c>
      <c r="K1" s="64" t="s">
        <v>457</v>
      </c>
      <c r="L1" s="64" t="s">
        <v>458</v>
      </c>
      <c r="M1" s="64" t="s">
        <v>459</v>
      </c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21.0" customHeight="1">
      <c r="A2" s="66" t="s">
        <v>460</v>
      </c>
      <c r="B2" s="67">
        <f t="shared" ref="B2:M2" si="1">SUM(B3+B5)</f>
        <v>967492.02</v>
      </c>
      <c r="C2" s="67">
        <f t="shared" si="1"/>
        <v>955865.45</v>
      </c>
      <c r="D2" s="67">
        <f t="shared" si="1"/>
        <v>888926.85</v>
      </c>
      <c r="E2" s="67">
        <f t="shared" si="1"/>
        <v>971297.88</v>
      </c>
      <c r="F2" s="67">
        <f t="shared" si="1"/>
        <v>0</v>
      </c>
      <c r="G2" s="67">
        <f t="shared" si="1"/>
        <v>0</v>
      </c>
      <c r="H2" s="67">
        <f t="shared" si="1"/>
        <v>0</v>
      </c>
      <c r="I2" s="67">
        <f t="shared" si="1"/>
        <v>0</v>
      </c>
      <c r="J2" s="67">
        <f t="shared" si="1"/>
        <v>0</v>
      </c>
      <c r="K2" s="67">
        <f t="shared" si="1"/>
        <v>0</v>
      </c>
      <c r="L2" s="67">
        <f t="shared" si="1"/>
        <v>0</v>
      </c>
      <c r="M2" s="67">
        <f t="shared" si="1"/>
        <v>0</v>
      </c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21.0" customHeight="1">
      <c r="A3" s="68" t="s">
        <v>461</v>
      </c>
      <c r="B3" s="69">
        <v>936269.79</v>
      </c>
      <c r="C3" s="69">
        <v>933198.78</v>
      </c>
      <c r="D3" s="69">
        <v>866260.18</v>
      </c>
      <c r="E3" s="69">
        <v>971297.88</v>
      </c>
      <c r="F3" s="69">
        <v>0.0</v>
      </c>
      <c r="G3" s="69">
        <v>0.0</v>
      </c>
      <c r="H3" s="69">
        <v>0.0</v>
      </c>
      <c r="I3" s="69">
        <v>0.0</v>
      </c>
      <c r="J3" s="69">
        <v>0.0</v>
      </c>
      <c r="K3" s="69">
        <v>0.0</v>
      </c>
      <c r="L3" s="69">
        <v>0.0</v>
      </c>
      <c r="M3" s="69">
        <v>0.0</v>
      </c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21.0" customHeight="1">
      <c r="A4" s="70" t="s">
        <v>462</v>
      </c>
      <c r="B4" s="71">
        <v>0.0</v>
      </c>
      <c r="C4" s="71">
        <v>0.0</v>
      </c>
      <c r="D4" s="71">
        <v>0.0</v>
      </c>
      <c r="E4" s="71">
        <v>0.0</v>
      </c>
      <c r="F4" s="71">
        <v>0.0</v>
      </c>
      <c r="G4" s="71">
        <v>0.0</v>
      </c>
      <c r="H4" s="71">
        <v>0.0</v>
      </c>
      <c r="I4" s="71">
        <v>0.0</v>
      </c>
      <c r="J4" s="71">
        <v>0.0</v>
      </c>
      <c r="K4" s="71">
        <v>0.0</v>
      </c>
      <c r="L4" s="71">
        <v>0.0</v>
      </c>
      <c r="M4" s="71">
        <v>0.0</v>
      </c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21.0" customHeight="1">
      <c r="A5" s="68" t="s">
        <v>463</v>
      </c>
      <c r="B5" s="69">
        <v>31222.23</v>
      </c>
      <c r="C5" s="69">
        <v>22666.67</v>
      </c>
      <c r="D5" s="69">
        <v>22666.67</v>
      </c>
      <c r="E5" s="69">
        <v>0.0</v>
      </c>
      <c r="F5" s="69">
        <v>0.0</v>
      </c>
      <c r="G5" s="69">
        <v>0.0</v>
      </c>
      <c r="H5" s="69">
        <v>0.0</v>
      </c>
      <c r="I5" s="69">
        <v>0.0</v>
      </c>
      <c r="J5" s="69">
        <v>0.0</v>
      </c>
      <c r="K5" s="69">
        <v>0.0</v>
      </c>
      <c r="L5" s="69">
        <v>0.0</v>
      </c>
      <c r="M5" s="69">
        <v>0.0</v>
      </c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21.0" customHeight="1">
      <c r="A6" s="70" t="s">
        <v>464</v>
      </c>
      <c r="B6" s="71">
        <f t="shared" ref="B6:M6" si="2">SUM(B8:B12)</f>
        <v>0</v>
      </c>
      <c r="C6" s="71">
        <f t="shared" si="2"/>
        <v>0</v>
      </c>
      <c r="D6" s="71">
        <f t="shared" si="2"/>
        <v>0</v>
      </c>
      <c r="E6" s="71">
        <f t="shared" si="2"/>
        <v>0</v>
      </c>
      <c r="F6" s="71">
        <f t="shared" si="2"/>
        <v>0</v>
      </c>
      <c r="G6" s="71">
        <f t="shared" si="2"/>
        <v>0</v>
      </c>
      <c r="H6" s="71">
        <f t="shared" si="2"/>
        <v>0</v>
      </c>
      <c r="I6" s="71">
        <f t="shared" si="2"/>
        <v>0</v>
      </c>
      <c r="J6" s="71">
        <f t="shared" si="2"/>
        <v>0</v>
      </c>
      <c r="K6" s="71">
        <f t="shared" si="2"/>
        <v>0</v>
      </c>
      <c r="L6" s="71">
        <f t="shared" si="2"/>
        <v>0</v>
      </c>
      <c r="M6" s="71">
        <f t="shared" si="2"/>
        <v>0</v>
      </c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21.0" customHeight="1">
      <c r="A7" s="72" t="s">
        <v>465</v>
      </c>
      <c r="B7" s="73">
        <f t="shared" ref="B7:M7" si="3">(B3-B4)+B5</f>
        <v>967492.02</v>
      </c>
      <c r="C7" s="73">
        <f t="shared" si="3"/>
        <v>955865.45</v>
      </c>
      <c r="D7" s="73">
        <f t="shared" si="3"/>
        <v>888926.85</v>
      </c>
      <c r="E7" s="73">
        <f t="shared" si="3"/>
        <v>971297.88</v>
      </c>
      <c r="F7" s="73">
        <f t="shared" si="3"/>
        <v>0</v>
      </c>
      <c r="G7" s="73">
        <f t="shared" si="3"/>
        <v>0</v>
      </c>
      <c r="H7" s="73">
        <f t="shared" si="3"/>
        <v>0</v>
      </c>
      <c r="I7" s="73">
        <f t="shared" si="3"/>
        <v>0</v>
      </c>
      <c r="J7" s="73">
        <f t="shared" si="3"/>
        <v>0</v>
      </c>
      <c r="K7" s="73">
        <f t="shared" si="3"/>
        <v>0</v>
      </c>
      <c r="L7" s="73">
        <f t="shared" si="3"/>
        <v>0</v>
      </c>
      <c r="M7" s="73">
        <f t="shared" si="3"/>
        <v>0</v>
      </c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21.0" customHeight="1">
      <c r="A8" s="68" t="s">
        <v>466</v>
      </c>
      <c r="B8" s="69">
        <v>0.0</v>
      </c>
      <c r="C8" s="69">
        <v>0.0</v>
      </c>
      <c r="D8" s="69">
        <v>0.0</v>
      </c>
      <c r="E8" s="69">
        <v>0.0</v>
      </c>
      <c r="F8" s="69">
        <v>0.0</v>
      </c>
      <c r="G8" s="69">
        <v>0.0</v>
      </c>
      <c r="H8" s="69">
        <v>0.0</v>
      </c>
      <c r="I8" s="74">
        <v>0.0</v>
      </c>
      <c r="J8" s="74">
        <v>0.0</v>
      </c>
      <c r="K8" s="74">
        <v>0.0</v>
      </c>
      <c r="L8" s="74">
        <v>0.0</v>
      </c>
      <c r="M8" s="74">
        <v>0.0</v>
      </c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21.0" customHeight="1">
      <c r="A9" s="68" t="s">
        <v>467</v>
      </c>
      <c r="B9" s="69">
        <v>0.0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74">
        <v>0.0</v>
      </c>
      <c r="J9" s="74">
        <v>0.0</v>
      </c>
      <c r="K9" s="74">
        <v>0.0</v>
      </c>
      <c r="L9" s="74">
        <v>0.0</v>
      </c>
      <c r="M9" s="74">
        <v>0.0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21.0" customHeight="1">
      <c r="A10" s="68" t="s">
        <v>468</v>
      </c>
      <c r="B10" s="69">
        <v>0.0</v>
      </c>
      <c r="C10" s="69">
        <v>0.0</v>
      </c>
      <c r="D10" s="69">
        <v>0.0</v>
      </c>
      <c r="E10" s="69">
        <v>0.0</v>
      </c>
      <c r="F10" s="69">
        <v>0.0</v>
      </c>
      <c r="G10" s="69">
        <v>0.0</v>
      </c>
      <c r="H10" s="69">
        <v>0.0</v>
      </c>
      <c r="I10" s="74">
        <v>0.0</v>
      </c>
      <c r="J10" s="74">
        <v>0.0</v>
      </c>
      <c r="K10" s="74">
        <v>0.0</v>
      </c>
      <c r="L10" s="74">
        <v>0.0</v>
      </c>
      <c r="M10" s="74">
        <v>0.0</v>
      </c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21.0" customHeight="1">
      <c r="A11" s="68" t="s">
        <v>469</v>
      </c>
      <c r="B11" s="69">
        <v>0.0</v>
      </c>
      <c r="C11" s="69">
        <v>0.0</v>
      </c>
      <c r="D11" s="69">
        <v>0.0</v>
      </c>
      <c r="E11" s="69">
        <v>0.0</v>
      </c>
      <c r="F11" s="69">
        <v>0.0</v>
      </c>
      <c r="G11" s="69">
        <v>0.0</v>
      </c>
      <c r="H11" s="69">
        <v>0.0</v>
      </c>
      <c r="I11" s="74">
        <v>0.0</v>
      </c>
      <c r="J11" s="74">
        <v>0.0</v>
      </c>
      <c r="K11" s="74">
        <v>0.0</v>
      </c>
      <c r="L11" s="74">
        <v>0.0</v>
      </c>
      <c r="M11" s="74">
        <v>0.0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21.0" customHeight="1">
      <c r="A12" s="68" t="s">
        <v>470</v>
      </c>
      <c r="B12" s="69">
        <v>0.0</v>
      </c>
      <c r="C12" s="69">
        <v>0.0</v>
      </c>
      <c r="D12" s="69">
        <v>0.0</v>
      </c>
      <c r="E12" s="69">
        <v>0.0</v>
      </c>
      <c r="F12" s="69">
        <v>0.0</v>
      </c>
      <c r="G12" s="69">
        <v>0.0</v>
      </c>
      <c r="H12" s="69">
        <v>0.0</v>
      </c>
      <c r="I12" s="74">
        <v>0.0</v>
      </c>
      <c r="J12" s="74">
        <v>0.0</v>
      </c>
      <c r="K12" s="74">
        <v>0.0</v>
      </c>
      <c r="L12" s="74">
        <v>0.0</v>
      </c>
      <c r="M12" s="74">
        <v>0.0</v>
      </c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21.0" customHeight="1">
      <c r="A13" s="75" t="s">
        <v>471</v>
      </c>
      <c r="B13" s="76">
        <f t="shared" ref="B13:M13" si="4">B7-SUM(B8:B12)</f>
        <v>967492.02</v>
      </c>
      <c r="C13" s="76">
        <f t="shared" si="4"/>
        <v>955865.45</v>
      </c>
      <c r="D13" s="76">
        <f t="shared" si="4"/>
        <v>888926.85</v>
      </c>
      <c r="E13" s="76">
        <f t="shared" si="4"/>
        <v>971297.88</v>
      </c>
      <c r="F13" s="76">
        <f t="shared" si="4"/>
        <v>0</v>
      </c>
      <c r="G13" s="76">
        <f t="shared" si="4"/>
        <v>0</v>
      </c>
      <c r="H13" s="76">
        <f t="shared" si="4"/>
        <v>0</v>
      </c>
      <c r="I13" s="76">
        <f t="shared" si="4"/>
        <v>0</v>
      </c>
      <c r="J13" s="76">
        <f t="shared" si="4"/>
        <v>0</v>
      </c>
      <c r="K13" s="76">
        <f t="shared" si="4"/>
        <v>0</v>
      </c>
      <c r="L13" s="76">
        <f t="shared" si="4"/>
        <v>0</v>
      </c>
      <c r="M13" s="76">
        <f t="shared" si="4"/>
        <v>0</v>
      </c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4" width="15.0"/>
    <col customWidth="1" min="5" max="9" width="9.75"/>
    <col customWidth="1" min="10" max="13" width="15.0"/>
    <col customWidth="1" min="14" max="14" width="12.63"/>
  </cols>
  <sheetData>
    <row r="1" ht="30.0" customHeight="1">
      <c r="A1" s="77" t="s">
        <v>0</v>
      </c>
      <c r="B1" s="78" t="s">
        <v>472</v>
      </c>
      <c r="C1" s="78" t="s">
        <v>473</v>
      </c>
      <c r="D1" s="78" t="s">
        <v>474</v>
      </c>
      <c r="E1" s="78" t="s">
        <v>475</v>
      </c>
      <c r="F1" s="78" t="s">
        <v>476</v>
      </c>
      <c r="G1" s="78" t="s">
        <v>477</v>
      </c>
      <c r="H1" s="78" t="s">
        <v>478</v>
      </c>
      <c r="I1" s="78" t="s">
        <v>479</v>
      </c>
      <c r="J1" s="79" t="s">
        <v>480</v>
      </c>
      <c r="K1" s="80" t="s">
        <v>481</v>
      </c>
      <c r="L1" s="79" t="s">
        <v>482</v>
      </c>
      <c r="M1" s="81" t="s">
        <v>483</v>
      </c>
    </row>
    <row r="2" ht="18.75" customHeight="1">
      <c r="A2" s="44" t="s">
        <v>25</v>
      </c>
      <c r="B2" s="82">
        <v>12.0</v>
      </c>
      <c r="C2" s="82">
        <v>11.0</v>
      </c>
      <c r="D2" s="82">
        <f t="shared" ref="D2:D6" si="1">B2-C2</f>
        <v>1</v>
      </c>
      <c r="E2" s="82">
        <v>11.0</v>
      </c>
      <c r="F2" s="82">
        <v>0.0</v>
      </c>
      <c r="G2" s="82">
        <f t="shared" ref="G2:G6" si="2">D2*6</f>
        <v>6</v>
      </c>
      <c r="H2" s="82">
        <v>19.0</v>
      </c>
      <c r="I2" s="82">
        <v>18.0</v>
      </c>
      <c r="J2" s="83">
        <f t="shared" ref="J2:J25" si="3">SUM(D2:I2)</f>
        <v>55</v>
      </c>
      <c r="K2" s="84">
        <v>37.0</v>
      </c>
      <c r="L2" s="85">
        <f t="shared" ref="L2:L25" si="4">J2-K2</f>
        <v>18</v>
      </c>
      <c r="M2" s="86">
        <f t="shared" ref="M2:M25" si="5">K2*130</f>
        <v>4810</v>
      </c>
    </row>
    <row r="3" ht="18.75" customHeight="1">
      <c r="A3" s="44" t="s">
        <v>38</v>
      </c>
      <c r="B3" s="82">
        <v>6.0</v>
      </c>
      <c r="C3" s="82">
        <v>5.0</v>
      </c>
      <c r="D3" s="82">
        <f t="shared" si="1"/>
        <v>1</v>
      </c>
      <c r="E3" s="82">
        <v>5.0</v>
      </c>
      <c r="F3" s="82">
        <v>1.0</v>
      </c>
      <c r="G3" s="82">
        <f t="shared" si="2"/>
        <v>6</v>
      </c>
      <c r="H3" s="82">
        <v>12.0</v>
      </c>
      <c r="I3" s="82"/>
      <c r="J3" s="83">
        <f t="shared" si="3"/>
        <v>25</v>
      </c>
      <c r="K3" s="84">
        <v>22.0</v>
      </c>
      <c r="L3" s="85">
        <f t="shared" si="4"/>
        <v>3</v>
      </c>
      <c r="M3" s="86">
        <f t="shared" si="5"/>
        <v>2860</v>
      </c>
    </row>
    <row r="4" ht="18.75" customHeight="1">
      <c r="A4" s="44" t="s">
        <v>74</v>
      </c>
      <c r="B4" s="82">
        <v>7.0</v>
      </c>
      <c r="C4" s="82">
        <v>7.0</v>
      </c>
      <c r="D4" s="82">
        <f t="shared" si="1"/>
        <v>0</v>
      </c>
      <c r="E4" s="82">
        <v>7.0</v>
      </c>
      <c r="F4" s="82">
        <v>2.0</v>
      </c>
      <c r="G4" s="82">
        <f t="shared" si="2"/>
        <v>0</v>
      </c>
      <c r="H4" s="82">
        <v>0.0</v>
      </c>
      <c r="I4" s="82"/>
      <c r="J4" s="83">
        <f t="shared" si="3"/>
        <v>9</v>
      </c>
      <c r="K4" s="84">
        <v>14.0</v>
      </c>
      <c r="L4" s="87">
        <f t="shared" si="4"/>
        <v>-5</v>
      </c>
      <c r="M4" s="88">
        <f t="shared" si="5"/>
        <v>1820</v>
      </c>
      <c r="N4" s="89">
        <f t="shared" ref="N4:N7" si="6">(L4*130)*-1</f>
        <v>650</v>
      </c>
    </row>
    <row r="5" ht="18.75" customHeight="1">
      <c r="A5" s="44" t="s">
        <v>109</v>
      </c>
      <c r="B5" s="82">
        <v>12.0</v>
      </c>
      <c r="C5" s="82">
        <v>9.0</v>
      </c>
      <c r="D5" s="82">
        <f t="shared" si="1"/>
        <v>3</v>
      </c>
      <c r="E5" s="82">
        <v>9.0</v>
      </c>
      <c r="F5" s="82">
        <v>4.0</v>
      </c>
      <c r="G5" s="82">
        <f t="shared" si="2"/>
        <v>18</v>
      </c>
      <c r="H5" s="82">
        <v>0.0</v>
      </c>
      <c r="I5" s="82"/>
      <c r="J5" s="83">
        <f t="shared" si="3"/>
        <v>34</v>
      </c>
      <c r="K5" s="84">
        <v>40.0</v>
      </c>
      <c r="L5" s="87">
        <f t="shared" si="4"/>
        <v>-6</v>
      </c>
      <c r="M5" s="88">
        <f t="shared" si="5"/>
        <v>5200</v>
      </c>
      <c r="N5" s="89">
        <f t="shared" si="6"/>
        <v>780</v>
      </c>
    </row>
    <row r="6" ht="18.75" customHeight="1">
      <c r="A6" s="44" t="s">
        <v>306</v>
      </c>
      <c r="B6" s="82">
        <v>4.0</v>
      </c>
      <c r="C6" s="82">
        <v>4.0</v>
      </c>
      <c r="D6" s="82">
        <f t="shared" si="1"/>
        <v>0</v>
      </c>
      <c r="E6" s="82">
        <v>4.0</v>
      </c>
      <c r="F6" s="82">
        <v>2.0</v>
      </c>
      <c r="G6" s="82">
        <f t="shared" si="2"/>
        <v>0</v>
      </c>
      <c r="H6" s="82">
        <v>0.0</v>
      </c>
      <c r="I6" s="82"/>
      <c r="J6" s="83">
        <f t="shared" si="3"/>
        <v>6</v>
      </c>
      <c r="K6" s="84">
        <v>7.0</v>
      </c>
      <c r="L6" s="87">
        <f t="shared" si="4"/>
        <v>-1</v>
      </c>
      <c r="M6" s="88">
        <f t="shared" si="5"/>
        <v>910</v>
      </c>
      <c r="N6" s="89">
        <f t="shared" si="6"/>
        <v>130</v>
      </c>
    </row>
    <row r="7" ht="18.75" customHeight="1">
      <c r="A7" s="54" t="s">
        <v>484</v>
      </c>
      <c r="B7" s="82">
        <v>0.0</v>
      </c>
      <c r="C7" s="82">
        <v>0.0</v>
      </c>
      <c r="D7" s="82">
        <v>0.0</v>
      </c>
      <c r="E7" s="82">
        <v>0.0</v>
      </c>
      <c r="F7" s="82">
        <v>0.0</v>
      </c>
      <c r="G7" s="82">
        <v>0.0</v>
      </c>
      <c r="H7" s="82">
        <v>0.0</v>
      </c>
      <c r="I7" s="82"/>
      <c r="J7" s="83">
        <f t="shared" si="3"/>
        <v>0</v>
      </c>
      <c r="K7" s="84">
        <v>15.0</v>
      </c>
      <c r="L7" s="87">
        <f t="shared" si="4"/>
        <v>-15</v>
      </c>
      <c r="M7" s="88">
        <f t="shared" si="5"/>
        <v>1950</v>
      </c>
      <c r="N7" s="89">
        <f t="shared" si="6"/>
        <v>1950</v>
      </c>
    </row>
    <row r="8" ht="18.75" customHeight="1">
      <c r="A8" s="44" t="s">
        <v>311</v>
      </c>
      <c r="B8" s="82">
        <v>1.0</v>
      </c>
      <c r="C8" s="82">
        <v>1.0</v>
      </c>
      <c r="D8" s="82">
        <f t="shared" ref="D8:D21" si="7">B8-C8</f>
        <v>0</v>
      </c>
      <c r="E8" s="82">
        <v>1.0</v>
      </c>
      <c r="F8" s="82">
        <v>0.0</v>
      </c>
      <c r="G8" s="82">
        <f t="shared" ref="G8:G21" si="8">D8*6</f>
        <v>0</v>
      </c>
      <c r="H8" s="82">
        <v>0.0</v>
      </c>
      <c r="I8" s="82"/>
      <c r="J8" s="83">
        <f t="shared" si="3"/>
        <v>1</v>
      </c>
      <c r="K8" s="84">
        <v>0.0</v>
      </c>
      <c r="L8" s="83">
        <f t="shared" si="4"/>
        <v>1</v>
      </c>
      <c r="M8" s="90">
        <f t="shared" si="5"/>
        <v>0</v>
      </c>
    </row>
    <row r="9" ht="18.75" customHeight="1">
      <c r="A9" s="44" t="s">
        <v>313</v>
      </c>
      <c r="B9" s="82">
        <v>1.0</v>
      </c>
      <c r="C9" s="82">
        <v>0.0</v>
      </c>
      <c r="D9" s="82">
        <f t="shared" si="7"/>
        <v>1</v>
      </c>
      <c r="E9" s="82">
        <v>0.0</v>
      </c>
      <c r="F9" s="82">
        <v>0.0</v>
      </c>
      <c r="G9" s="82">
        <f t="shared" si="8"/>
        <v>6</v>
      </c>
      <c r="H9" s="82">
        <v>0.0</v>
      </c>
      <c r="I9" s="82"/>
      <c r="J9" s="83">
        <f t="shared" si="3"/>
        <v>7</v>
      </c>
      <c r="K9" s="84">
        <v>9.0</v>
      </c>
      <c r="L9" s="87">
        <f t="shared" si="4"/>
        <v>-2</v>
      </c>
      <c r="M9" s="88">
        <f t="shared" si="5"/>
        <v>1170</v>
      </c>
      <c r="N9" s="89">
        <f t="shared" ref="N9:N10" si="9">(L9*130)*-1</f>
        <v>260</v>
      </c>
    </row>
    <row r="10" ht="18.75" customHeight="1">
      <c r="A10" s="54" t="s">
        <v>127</v>
      </c>
      <c r="B10" s="82">
        <v>5.0</v>
      </c>
      <c r="C10" s="82">
        <v>4.0</v>
      </c>
      <c r="D10" s="82">
        <f t="shared" si="7"/>
        <v>1</v>
      </c>
      <c r="E10" s="82">
        <v>4.0</v>
      </c>
      <c r="F10" s="82">
        <v>1.0</v>
      </c>
      <c r="G10" s="82">
        <f t="shared" si="8"/>
        <v>6</v>
      </c>
      <c r="H10" s="82">
        <v>0.0</v>
      </c>
      <c r="I10" s="82"/>
      <c r="J10" s="83">
        <f t="shared" si="3"/>
        <v>12</v>
      </c>
      <c r="K10" s="84">
        <v>24.0</v>
      </c>
      <c r="L10" s="87">
        <f t="shared" si="4"/>
        <v>-12</v>
      </c>
      <c r="M10" s="88">
        <f t="shared" si="5"/>
        <v>3120</v>
      </c>
      <c r="N10" s="89">
        <f t="shared" si="9"/>
        <v>1560</v>
      </c>
    </row>
    <row r="11" ht="18.75" customHeight="1">
      <c r="A11" s="44" t="s">
        <v>133</v>
      </c>
      <c r="B11" s="82">
        <v>7.0</v>
      </c>
      <c r="C11" s="82">
        <v>5.0</v>
      </c>
      <c r="D11" s="82">
        <f t="shared" si="7"/>
        <v>2</v>
      </c>
      <c r="E11" s="82">
        <v>5.0</v>
      </c>
      <c r="F11" s="82">
        <v>1.0</v>
      </c>
      <c r="G11" s="82">
        <f t="shared" si="8"/>
        <v>12</v>
      </c>
      <c r="H11" s="82">
        <v>0.0</v>
      </c>
      <c r="I11" s="82"/>
      <c r="J11" s="83">
        <f t="shared" si="3"/>
        <v>20</v>
      </c>
      <c r="K11" s="84">
        <v>12.0</v>
      </c>
      <c r="L11" s="85">
        <f t="shared" si="4"/>
        <v>8</v>
      </c>
      <c r="M11" s="86">
        <f t="shared" si="5"/>
        <v>1560</v>
      </c>
    </row>
    <row r="12" ht="18.75" customHeight="1">
      <c r="A12" s="44" t="s">
        <v>141</v>
      </c>
      <c r="B12" s="82">
        <v>3.0</v>
      </c>
      <c r="C12" s="82">
        <v>1.0</v>
      </c>
      <c r="D12" s="82">
        <f t="shared" si="7"/>
        <v>2</v>
      </c>
      <c r="E12" s="82">
        <v>1.0</v>
      </c>
      <c r="F12" s="82">
        <v>0.0</v>
      </c>
      <c r="G12" s="82">
        <f t="shared" si="8"/>
        <v>12</v>
      </c>
      <c r="H12" s="82">
        <v>0.0</v>
      </c>
      <c r="I12" s="82"/>
      <c r="J12" s="83">
        <f t="shared" si="3"/>
        <v>15</v>
      </c>
      <c r="K12" s="84">
        <v>10.0</v>
      </c>
      <c r="L12" s="85">
        <f t="shared" si="4"/>
        <v>5</v>
      </c>
      <c r="M12" s="86">
        <f t="shared" si="5"/>
        <v>1300</v>
      </c>
    </row>
    <row r="13" ht="18.75" customHeight="1">
      <c r="A13" s="44" t="s">
        <v>144</v>
      </c>
      <c r="B13" s="82">
        <v>3.0</v>
      </c>
      <c r="C13" s="82">
        <v>3.0</v>
      </c>
      <c r="D13" s="82">
        <f t="shared" si="7"/>
        <v>0</v>
      </c>
      <c r="E13" s="82">
        <v>3.0</v>
      </c>
      <c r="F13" s="82">
        <v>1.0</v>
      </c>
      <c r="G13" s="82">
        <f t="shared" si="8"/>
        <v>0</v>
      </c>
      <c r="H13" s="82">
        <v>0.0</v>
      </c>
      <c r="I13" s="82"/>
      <c r="J13" s="83">
        <f t="shared" si="3"/>
        <v>4</v>
      </c>
      <c r="K13" s="84">
        <v>0.0</v>
      </c>
      <c r="L13" s="83">
        <f t="shared" si="4"/>
        <v>4</v>
      </c>
      <c r="M13" s="90">
        <f t="shared" si="5"/>
        <v>0</v>
      </c>
    </row>
    <row r="14" ht="18.75" customHeight="1">
      <c r="A14" s="44" t="s">
        <v>323</v>
      </c>
      <c r="B14" s="82">
        <v>25.0</v>
      </c>
      <c r="C14" s="82">
        <v>21.0</v>
      </c>
      <c r="D14" s="82">
        <f t="shared" si="7"/>
        <v>4</v>
      </c>
      <c r="E14" s="82">
        <v>21.0</v>
      </c>
      <c r="F14" s="82">
        <v>5.0</v>
      </c>
      <c r="G14" s="82">
        <f t="shared" si="8"/>
        <v>24</v>
      </c>
      <c r="H14" s="82">
        <v>18.0</v>
      </c>
      <c r="I14" s="82">
        <v>1.0</v>
      </c>
      <c r="J14" s="83">
        <f t="shared" si="3"/>
        <v>73</v>
      </c>
      <c r="K14" s="84">
        <v>97.0</v>
      </c>
      <c r="L14" s="87">
        <f t="shared" si="4"/>
        <v>-24</v>
      </c>
      <c r="M14" s="88">
        <f t="shared" si="5"/>
        <v>12610</v>
      </c>
      <c r="N14" s="89">
        <f>(L14*130)*-1</f>
        <v>3120</v>
      </c>
    </row>
    <row r="15" ht="18.75" customHeight="1">
      <c r="A15" s="44" t="s">
        <v>327</v>
      </c>
      <c r="B15" s="82">
        <v>2.0</v>
      </c>
      <c r="C15" s="82">
        <v>2.0</v>
      </c>
      <c r="D15" s="82">
        <f t="shared" si="7"/>
        <v>0</v>
      </c>
      <c r="E15" s="82">
        <v>2.0</v>
      </c>
      <c r="F15" s="82">
        <v>1.0</v>
      </c>
      <c r="G15" s="82">
        <f t="shared" si="8"/>
        <v>0</v>
      </c>
      <c r="H15" s="82">
        <v>0.0</v>
      </c>
      <c r="I15" s="82"/>
      <c r="J15" s="83">
        <f t="shared" si="3"/>
        <v>3</v>
      </c>
      <c r="K15" s="84">
        <v>3.0</v>
      </c>
      <c r="L15" s="85">
        <f t="shared" si="4"/>
        <v>0</v>
      </c>
      <c r="M15" s="86">
        <f t="shared" si="5"/>
        <v>390</v>
      </c>
    </row>
    <row r="16" ht="18.75" customHeight="1">
      <c r="A16" s="44" t="s">
        <v>353</v>
      </c>
      <c r="B16" s="82">
        <v>16.0</v>
      </c>
      <c r="C16" s="82">
        <v>13.0</v>
      </c>
      <c r="D16" s="82">
        <f t="shared" si="7"/>
        <v>3</v>
      </c>
      <c r="E16" s="82">
        <v>13.0</v>
      </c>
      <c r="F16" s="82">
        <v>3.0</v>
      </c>
      <c r="G16" s="82">
        <f t="shared" si="8"/>
        <v>18</v>
      </c>
      <c r="H16" s="82">
        <v>19.0</v>
      </c>
      <c r="I16" s="82">
        <v>3.0</v>
      </c>
      <c r="J16" s="83">
        <f t="shared" si="3"/>
        <v>59</v>
      </c>
      <c r="K16" s="84">
        <v>54.0</v>
      </c>
      <c r="L16" s="85">
        <f t="shared" si="4"/>
        <v>5</v>
      </c>
      <c r="M16" s="86">
        <f t="shared" si="5"/>
        <v>7020</v>
      </c>
    </row>
    <row r="17" ht="18.75" customHeight="1">
      <c r="A17" s="44" t="s">
        <v>49</v>
      </c>
      <c r="B17" s="82">
        <v>9.0</v>
      </c>
      <c r="C17" s="82">
        <v>8.0</v>
      </c>
      <c r="D17" s="82">
        <f t="shared" si="7"/>
        <v>1</v>
      </c>
      <c r="E17" s="82">
        <v>8.0</v>
      </c>
      <c r="F17" s="82">
        <v>2.0</v>
      </c>
      <c r="G17" s="82">
        <f t="shared" si="8"/>
        <v>6</v>
      </c>
      <c r="H17" s="82">
        <v>0.0</v>
      </c>
      <c r="I17" s="82"/>
      <c r="J17" s="83">
        <f t="shared" si="3"/>
        <v>17</v>
      </c>
      <c r="K17" s="84">
        <v>0.0</v>
      </c>
      <c r="L17" s="83">
        <f t="shared" si="4"/>
        <v>17</v>
      </c>
      <c r="M17" s="90">
        <f t="shared" si="5"/>
        <v>0</v>
      </c>
    </row>
    <row r="18" ht="18.75" customHeight="1">
      <c r="A18" s="44" t="s">
        <v>65</v>
      </c>
      <c r="B18" s="82">
        <v>5.0</v>
      </c>
      <c r="C18" s="82">
        <v>5.0</v>
      </c>
      <c r="D18" s="82">
        <f t="shared" si="7"/>
        <v>0</v>
      </c>
      <c r="E18" s="82">
        <v>5.0</v>
      </c>
      <c r="F18" s="82">
        <v>1.0</v>
      </c>
      <c r="G18" s="82">
        <f t="shared" si="8"/>
        <v>0</v>
      </c>
      <c r="H18" s="82">
        <v>0.0</v>
      </c>
      <c r="I18" s="82"/>
      <c r="J18" s="83">
        <f t="shared" si="3"/>
        <v>6</v>
      </c>
      <c r="K18" s="84">
        <v>9.0</v>
      </c>
      <c r="L18" s="87">
        <f t="shared" si="4"/>
        <v>-3</v>
      </c>
      <c r="M18" s="88">
        <f t="shared" si="5"/>
        <v>1170</v>
      </c>
      <c r="N18" s="89">
        <f>(L18*130)*-1</f>
        <v>390</v>
      </c>
    </row>
    <row r="19" ht="18.75" customHeight="1">
      <c r="A19" s="44" t="s">
        <v>98</v>
      </c>
      <c r="B19" s="82">
        <v>5.0</v>
      </c>
      <c r="C19" s="82">
        <v>5.0</v>
      </c>
      <c r="D19" s="82">
        <f t="shared" si="7"/>
        <v>0</v>
      </c>
      <c r="E19" s="82">
        <v>5.0</v>
      </c>
      <c r="F19" s="82">
        <v>2.0</v>
      </c>
      <c r="G19" s="82">
        <f t="shared" si="8"/>
        <v>0</v>
      </c>
      <c r="H19" s="82">
        <v>0.0</v>
      </c>
      <c r="I19" s="82"/>
      <c r="J19" s="83">
        <f t="shared" si="3"/>
        <v>7</v>
      </c>
      <c r="K19" s="84">
        <v>0.0</v>
      </c>
      <c r="L19" s="83">
        <f t="shared" si="4"/>
        <v>7</v>
      </c>
      <c r="M19" s="90">
        <f t="shared" si="5"/>
        <v>0</v>
      </c>
    </row>
    <row r="20" ht="18.75" customHeight="1">
      <c r="A20" s="44" t="s">
        <v>84</v>
      </c>
      <c r="B20" s="82">
        <v>6.0</v>
      </c>
      <c r="C20" s="82">
        <v>6.0</v>
      </c>
      <c r="D20" s="82">
        <f t="shared" si="7"/>
        <v>0</v>
      </c>
      <c r="E20" s="82">
        <v>6.0</v>
      </c>
      <c r="F20" s="82">
        <v>2.0</v>
      </c>
      <c r="G20" s="82">
        <f t="shared" si="8"/>
        <v>0</v>
      </c>
      <c r="H20" s="82">
        <v>0.0</v>
      </c>
      <c r="I20" s="82"/>
      <c r="J20" s="83">
        <f t="shared" si="3"/>
        <v>8</v>
      </c>
      <c r="K20" s="84">
        <v>0.0</v>
      </c>
      <c r="L20" s="83">
        <f t="shared" si="4"/>
        <v>8</v>
      </c>
      <c r="M20" s="90">
        <f t="shared" si="5"/>
        <v>0</v>
      </c>
    </row>
    <row r="21" ht="18.75" customHeight="1">
      <c r="A21" s="44" t="s">
        <v>222</v>
      </c>
      <c r="B21" s="82">
        <v>4.0</v>
      </c>
      <c r="C21" s="82">
        <v>4.0</v>
      </c>
      <c r="D21" s="82">
        <f t="shared" si="7"/>
        <v>0</v>
      </c>
      <c r="E21" s="82">
        <v>4.0</v>
      </c>
      <c r="F21" s="82">
        <v>1.0</v>
      </c>
      <c r="G21" s="82">
        <f t="shared" si="8"/>
        <v>0</v>
      </c>
      <c r="H21" s="82">
        <v>0.0</v>
      </c>
      <c r="I21" s="82"/>
      <c r="J21" s="83">
        <f t="shared" si="3"/>
        <v>5</v>
      </c>
      <c r="K21" s="84">
        <v>0.0</v>
      </c>
      <c r="L21" s="83">
        <f t="shared" si="4"/>
        <v>5</v>
      </c>
      <c r="M21" s="90">
        <f t="shared" si="5"/>
        <v>0</v>
      </c>
    </row>
    <row r="22" ht="18.75" customHeight="1">
      <c r="A22" s="54" t="s">
        <v>414</v>
      </c>
      <c r="B22" s="82">
        <v>3.0</v>
      </c>
      <c r="C22" s="82">
        <v>3.0</v>
      </c>
      <c r="D22" s="82">
        <v>0.0</v>
      </c>
      <c r="E22" s="82">
        <v>0.0</v>
      </c>
      <c r="F22" s="82">
        <v>0.0</v>
      </c>
      <c r="G22" s="82">
        <v>0.0</v>
      </c>
      <c r="H22" s="82">
        <v>0.0</v>
      </c>
      <c r="I22" s="82">
        <v>2.0</v>
      </c>
      <c r="J22" s="83">
        <f t="shared" si="3"/>
        <v>2</v>
      </c>
      <c r="K22" s="84">
        <v>1.0</v>
      </c>
      <c r="L22" s="85">
        <f t="shared" si="4"/>
        <v>1</v>
      </c>
      <c r="M22" s="86">
        <f t="shared" si="5"/>
        <v>130</v>
      </c>
    </row>
    <row r="23" ht="18.75" customHeight="1">
      <c r="A23" s="44" t="s">
        <v>196</v>
      </c>
      <c r="B23" s="82">
        <v>2.0</v>
      </c>
      <c r="C23" s="82">
        <v>1.0</v>
      </c>
      <c r="D23" s="82">
        <f>B23-C23</f>
        <v>1</v>
      </c>
      <c r="E23" s="82">
        <v>1.0</v>
      </c>
      <c r="F23" s="82">
        <v>1.0</v>
      </c>
      <c r="G23" s="82">
        <f>D23*6</f>
        <v>6</v>
      </c>
      <c r="H23" s="82">
        <v>0.0</v>
      </c>
      <c r="I23" s="82"/>
      <c r="J23" s="83">
        <f t="shared" si="3"/>
        <v>9</v>
      </c>
      <c r="K23" s="84">
        <v>1.0</v>
      </c>
      <c r="L23" s="85">
        <f t="shared" si="4"/>
        <v>8</v>
      </c>
      <c r="M23" s="86">
        <f t="shared" si="5"/>
        <v>130</v>
      </c>
    </row>
    <row r="24" ht="18.75" customHeight="1">
      <c r="A24" s="54" t="s">
        <v>215</v>
      </c>
      <c r="B24" s="82">
        <v>5.0</v>
      </c>
      <c r="C24" s="82">
        <v>4.0</v>
      </c>
      <c r="D24" s="82">
        <v>1.0</v>
      </c>
      <c r="E24" s="82">
        <v>0.0</v>
      </c>
      <c r="F24" s="82">
        <v>0.0</v>
      </c>
      <c r="G24" s="82">
        <v>6.0</v>
      </c>
      <c r="H24" s="82">
        <v>0.0</v>
      </c>
      <c r="I24" s="82"/>
      <c r="J24" s="83">
        <f t="shared" si="3"/>
        <v>7</v>
      </c>
      <c r="K24" s="84">
        <v>1.0</v>
      </c>
      <c r="L24" s="85">
        <f t="shared" si="4"/>
        <v>6</v>
      </c>
      <c r="M24" s="86">
        <f t="shared" si="5"/>
        <v>130</v>
      </c>
    </row>
    <row r="25" ht="18.75" customHeight="1">
      <c r="A25" s="44" t="s">
        <v>440</v>
      </c>
      <c r="B25" s="82">
        <v>2.0</v>
      </c>
      <c r="C25" s="82">
        <v>2.0</v>
      </c>
      <c r="D25" s="82">
        <f>B25-C25</f>
        <v>0</v>
      </c>
      <c r="E25" s="82">
        <v>2.0</v>
      </c>
      <c r="F25" s="82">
        <v>1.0</v>
      </c>
      <c r="G25" s="82">
        <f>D25*6</f>
        <v>0</v>
      </c>
      <c r="H25" s="82">
        <v>0.0</v>
      </c>
      <c r="I25" s="82"/>
      <c r="J25" s="83">
        <f t="shared" si="3"/>
        <v>3</v>
      </c>
      <c r="K25" s="84">
        <v>2.0</v>
      </c>
      <c r="L25" s="85">
        <f t="shared" si="4"/>
        <v>1</v>
      </c>
      <c r="M25" s="86">
        <f t="shared" si="5"/>
        <v>260</v>
      </c>
    </row>
    <row r="26" ht="12.75" customHeight="1"/>
    <row r="27" ht="18.75" customHeight="1">
      <c r="A27" s="91" t="s">
        <v>485</v>
      </c>
      <c r="B27" s="31"/>
    </row>
    <row r="28" ht="18.75" customHeight="1">
      <c r="A28" s="44" t="s">
        <v>486</v>
      </c>
      <c r="B28" s="92">
        <v>130.0</v>
      </c>
    </row>
    <row r="29" ht="18.75" customHeight="1">
      <c r="A29" s="44" t="s">
        <v>480</v>
      </c>
      <c r="B29" s="21">
        <f>SUM(J2:J25)</f>
        <v>387</v>
      </c>
    </row>
    <row r="30" ht="18.75" customHeight="1">
      <c r="A30" s="44" t="s">
        <v>487</v>
      </c>
      <c r="B30" s="93">
        <f>B29*B28</f>
        <v>50310</v>
      </c>
    </row>
    <row r="31" ht="12.75" customHeight="1"/>
    <row r="32" ht="18.75" customHeight="1">
      <c r="A32" s="91" t="s">
        <v>488</v>
      </c>
      <c r="B32" s="31"/>
    </row>
    <row r="33" ht="18.75" customHeight="1">
      <c r="A33" s="44" t="s">
        <v>486</v>
      </c>
      <c r="B33" s="92">
        <v>130.0</v>
      </c>
    </row>
    <row r="34" ht="18.75" customHeight="1">
      <c r="A34" s="44" t="s">
        <v>480</v>
      </c>
      <c r="B34" s="21">
        <f>SUM(K2:K25)</f>
        <v>358</v>
      </c>
    </row>
    <row r="35" ht="18.75" customHeight="1">
      <c r="A35" s="44" t="s">
        <v>487</v>
      </c>
      <c r="B35" s="93">
        <f>B34*B33</f>
        <v>46540</v>
      </c>
    </row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</sheetData>
  <mergeCells count="2">
    <mergeCell ref="A27:B27"/>
    <mergeCell ref="A32:B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4" width="15.0"/>
    <col customWidth="1" min="5" max="9" width="9.75"/>
    <col customWidth="1" min="10" max="13" width="15.0"/>
    <col customWidth="1" min="14" max="14" width="12.63"/>
  </cols>
  <sheetData>
    <row r="1" ht="30.0" customHeight="1">
      <c r="A1" s="77" t="s">
        <v>0</v>
      </c>
      <c r="B1" s="78" t="s">
        <v>472</v>
      </c>
      <c r="C1" s="78" t="s">
        <v>473</v>
      </c>
      <c r="D1" s="78" t="s">
        <v>474</v>
      </c>
      <c r="E1" s="78" t="s">
        <v>475</v>
      </c>
      <c r="F1" s="78" t="s">
        <v>476</v>
      </c>
      <c r="G1" s="78" t="s">
        <v>477</v>
      </c>
      <c r="H1" s="78" t="s">
        <v>478</v>
      </c>
      <c r="I1" s="78" t="s">
        <v>479</v>
      </c>
      <c r="J1" s="79" t="s">
        <v>480</v>
      </c>
      <c r="K1" s="80" t="s">
        <v>481</v>
      </c>
      <c r="L1" s="79" t="s">
        <v>482</v>
      </c>
      <c r="M1" s="81" t="s">
        <v>483</v>
      </c>
    </row>
    <row r="2" ht="18.75" customHeight="1">
      <c r="A2" s="44" t="s">
        <v>25</v>
      </c>
      <c r="B2" s="82">
        <v>12.0</v>
      </c>
      <c r="C2" s="82">
        <v>9.0</v>
      </c>
      <c r="D2" s="82">
        <v>3.0</v>
      </c>
      <c r="E2" s="82">
        <v>11.0</v>
      </c>
      <c r="F2" s="82">
        <v>2.0</v>
      </c>
      <c r="G2" s="82">
        <v>12.0</v>
      </c>
      <c r="H2" s="82">
        <v>14.0</v>
      </c>
      <c r="I2" s="82">
        <v>13.0</v>
      </c>
      <c r="J2" s="83">
        <f t="shared" ref="J2:J15" si="1">SUM(D2:I2)</f>
        <v>55</v>
      </c>
      <c r="K2" s="84">
        <v>16.0</v>
      </c>
      <c r="L2" s="83">
        <f t="shared" ref="L2:L25" si="2">J2-K2</f>
        <v>39</v>
      </c>
      <c r="M2" s="90">
        <f t="shared" ref="M2:M25" si="3">K2*130</f>
        <v>2080</v>
      </c>
    </row>
    <row r="3" ht="18.75" customHeight="1">
      <c r="A3" s="44" t="s">
        <v>38</v>
      </c>
      <c r="B3" s="82">
        <v>6.0</v>
      </c>
      <c r="C3" s="82">
        <v>4.0</v>
      </c>
      <c r="D3" s="82">
        <v>2.0</v>
      </c>
      <c r="E3" s="82">
        <v>5.0</v>
      </c>
      <c r="F3" s="82">
        <v>2.0</v>
      </c>
      <c r="G3" s="82">
        <v>10.0</v>
      </c>
      <c r="H3" s="82">
        <v>7.0</v>
      </c>
      <c r="I3" s="82"/>
      <c r="J3" s="83">
        <f t="shared" si="1"/>
        <v>26</v>
      </c>
      <c r="K3" s="84">
        <v>18.0</v>
      </c>
      <c r="L3" s="83">
        <f t="shared" si="2"/>
        <v>8</v>
      </c>
      <c r="M3" s="90">
        <f t="shared" si="3"/>
        <v>2340</v>
      </c>
    </row>
    <row r="4" ht="18.75" customHeight="1">
      <c r="A4" s="44" t="s">
        <v>74</v>
      </c>
      <c r="B4" s="82">
        <v>7.0</v>
      </c>
      <c r="C4" s="82">
        <v>7.0</v>
      </c>
      <c r="D4" s="82">
        <v>0.0</v>
      </c>
      <c r="E4" s="82">
        <v>8.0</v>
      </c>
      <c r="F4" s="82">
        <v>2.0</v>
      </c>
      <c r="G4" s="82">
        <v>0.0</v>
      </c>
      <c r="H4" s="82">
        <v>0.0</v>
      </c>
      <c r="I4" s="82"/>
      <c r="J4" s="83">
        <f t="shared" si="1"/>
        <v>10</v>
      </c>
      <c r="K4" s="84">
        <v>14.0</v>
      </c>
      <c r="L4" s="87">
        <f t="shared" si="2"/>
        <v>-4</v>
      </c>
      <c r="M4" s="88">
        <f t="shared" si="3"/>
        <v>1820</v>
      </c>
    </row>
    <row r="5" ht="18.75" customHeight="1">
      <c r="A5" s="44" t="s">
        <v>109</v>
      </c>
      <c r="B5" s="82">
        <v>12.0</v>
      </c>
      <c r="C5" s="82">
        <v>9.0</v>
      </c>
      <c r="D5" s="82">
        <v>3.0</v>
      </c>
      <c r="E5" s="82">
        <v>10.0</v>
      </c>
      <c r="F5" s="82">
        <v>4.0</v>
      </c>
      <c r="G5" s="82">
        <v>18.0</v>
      </c>
      <c r="H5" s="82">
        <v>0.0</v>
      </c>
      <c r="I5" s="82"/>
      <c r="J5" s="83">
        <f t="shared" si="1"/>
        <v>35</v>
      </c>
      <c r="K5" s="84">
        <v>33.0</v>
      </c>
      <c r="L5" s="83">
        <f t="shared" si="2"/>
        <v>2</v>
      </c>
      <c r="M5" s="90">
        <f t="shared" si="3"/>
        <v>4290</v>
      </c>
    </row>
    <row r="6" ht="18.75" customHeight="1">
      <c r="A6" s="44" t="s">
        <v>306</v>
      </c>
      <c r="B6" s="82">
        <v>4.0</v>
      </c>
      <c r="C6" s="82">
        <v>4.0</v>
      </c>
      <c r="D6" s="82">
        <v>0.0</v>
      </c>
      <c r="E6" s="82">
        <v>4.0</v>
      </c>
      <c r="F6" s="82">
        <v>1.0</v>
      </c>
      <c r="G6" s="82">
        <v>0.0</v>
      </c>
      <c r="H6" s="82">
        <v>0.0</v>
      </c>
      <c r="I6" s="82"/>
      <c r="J6" s="83">
        <f t="shared" si="1"/>
        <v>5</v>
      </c>
      <c r="K6" s="84">
        <v>7.0</v>
      </c>
      <c r="L6" s="87">
        <f t="shared" si="2"/>
        <v>-2</v>
      </c>
      <c r="M6" s="88">
        <f t="shared" si="3"/>
        <v>910</v>
      </c>
    </row>
    <row r="7" ht="18.75" customHeight="1">
      <c r="A7" s="54" t="s">
        <v>484</v>
      </c>
      <c r="B7" s="82">
        <v>0.0</v>
      </c>
      <c r="C7" s="82">
        <v>0.0</v>
      </c>
      <c r="D7" s="82">
        <v>0.0</v>
      </c>
      <c r="E7" s="82">
        <v>0.0</v>
      </c>
      <c r="F7" s="82">
        <v>0.0</v>
      </c>
      <c r="G7" s="82">
        <v>0.0</v>
      </c>
      <c r="H7" s="82">
        <v>14.0</v>
      </c>
      <c r="I7" s="82"/>
      <c r="J7" s="83">
        <f t="shared" si="1"/>
        <v>14</v>
      </c>
      <c r="K7" s="84">
        <v>14.0</v>
      </c>
      <c r="L7" s="83">
        <f t="shared" si="2"/>
        <v>0</v>
      </c>
      <c r="M7" s="90">
        <f t="shared" si="3"/>
        <v>1820</v>
      </c>
    </row>
    <row r="8" ht="18.75" customHeight="1">
      <c r="A8" s="44" t="s">
        <v>311</v>
      </c>
      <c r="B8" s="82">
        <v>1.0</v>
      </c>
      <c r="C8" s="82">
        <v>1.0</v>
      </c>
      <c r="D8" s="82">
        <v>0.0</v>
      </c>
      <c r="E8" s="82">
        <v>1.0</v>
      </c>
      <c r="F8" s="82">
        <v>0.0</v>
      </c>
      <c r="G8" s="82">
        <v>0.0</v>
      </c>
      <c r="H8" s="82">
        <v>0.0</v>
      </c>
      <c r="I8" s="82"/>
      <c r="J8" s="83">
        <f t="shared" si="1"/>
        <v>1</v>
      </c>
      <c r="K8" s="84">
        <v>0.0</v>
      </c>
      <c r="L8" s="83">
        <f t="shared" si="2"/>
        <v>1</v>
      </c>
      <c r="M8" s="90">
        <f t="shared" si="3"/>
        <v>0</v>
      </c>
    </row>
    <row r="9" ht="18.75" customHeight="1">
      <c r="A9" s="44" t="s">
        <v>313</v>
      </c>
      <c r="B9" s="82">
        <v>1.0</v>
      </c>
      <c r="C9" s="82">
        <v>0.0</v>
      </c>
      <c r="D9" s="82">
        <v>1.0</v>
      </c>
      <c r="E9" s="82">
        <v>0.0</v>
      </c>
      <c r="F9" s="82">
        <v>0.0</v>
      </c>
      <c r="G9" s="82">
        <v>6.0</v>
      </c>
      <c r="H9" s="82">
        <v>0.0</v>
      </c>
      <c r="I9" s="82"/>
      <c r="J9" s="83">
        <f t="shared" si="1"/>
        <v>7</v>
      </c>
      <c r="K9" s="84">
        <v>7.0</v>
      </c>
      <c r="L9" s="83">
        <f t="shared" si="2"/>
        <v>0</v>
      </c>
      <c r="M9" s="90">
        <f t="shared" si="3"/>
        <v>910</v>
      </c>
    </row>
    <row r="10" ht="18.75" customHeight="1">
      <c r="A10" s="54" t="s">
        <v>127</v>
      </c>
      <c r="B10" s="82">
        <v>5.0</v>
      </c>
      <c r="C10" s="82">
        <v>4.0</v>
      </c>
      <c r="D10" s="82">
        <v>1.0</v>
      </c>
      <c r="E10" s="82">
        <v>5.0</v>
      </c>
      <c r="F10" s="82">
        <v>3.0</v>
      </c>
      <c r="G10" s="82">
        <v>6.0</v>
      </c>
      <c r="H10" s="82">
        <v>0.0</v>
      </c>
      <c r="I10" s="82"/>
      <c r="J10" s="83">
        <f t="shared" si="1"/>
        <v>15</v>
      </c>
      <c r="K10" s="84">
        <v>23.0</v>
      </c>
      <c r="L10" s="87">
        <f t="shared" si="2"/>
        <v>-8</v>
      </c>
      <c r="M10" s="88">
        <f t="shared" si="3"/>
        <v>2990</v>
      </c>
    </row>
    <row r="11" ht="18.75" customHeight="1">
      <c r="A11" s="44" t="s">
        <v>133</v>
      </c>
      <c r="B11" s="82">
        <v>7.0</v>
      </c>
      <c r="C11" s="82">
        <v>5.0</v>
      </c>
      <c r="D11" s="82">
        <v>2.0</v>
      </c>
      <c r="E11" s="82">
        <v>6.0</v>
      </c>
      <c r="F11" s="82">
        <v>0.0</v>
      </c>
      <c r="G11" s="82">
        <v>12.0</v>
      </c>
      <c r="H11" s="82">
        <v>0.0</v>
      </c>
      <c r="I11" s="82"/>
      <c r="J11" s="83">
        <f t="shared" si="1"/>
        <v>20</v>
      </c>
      <c r="K11" s="84">
        <v>3.0</v>
      </c>
      <c r="L11" s="83">
        <f t="shared" si="2"/>
        <v>17</v>
      </c>
      <c r="M11" s="90">
        <f t="shared" si="3"/>
        <v>390</v>
      </c>
    </row>
    <row r="12" ht="18.75" customHeight="1">
      <c r="A12" s="44" t="s">
        <v>141</v>
      </c>
      <c r="B12" s="82">
        <v>3.0</v>
      </c>
      <c r="C12" s="82">
        <v>1.0</v>
      </c>
      <c r="D12" s="82">
        <v>2.0</v>
      </c>
      <c r="E12" s="82">
        <v>1.0</v>
      </c>
      <c r="F12" s="82">
        <v>0.0</v>
      </c>
      <c r="G12" s="82">
        <v>12.0</v>
      </c>
      <c r="H12" s="82">
        <v>0.0</v>
      </c>
      <c r="I12" s="82"/>
      <c r="J12" s="83">
        <f t="shared" si="1"/>
        <v>15</v>
      </c>
      <c r="K12" s="84">
        <v>15.0</v>
      </c>
      <c r="L12" s="83">
        <f t="shared" si="2"/>
        <v>0</v>
      </c>
      <c r="M12" s="90">
        <f t="shared" si="3"/>
        <v>1950</v>
      </c>
    </row>
    <row r="13" ht="18.75" customHeight="1">
      <c r="A13" s="44" t="s">
        <v>144</v>
      </c>
      <c r="B13" s="82">
        <v>3.0</v>
      </c>
      <c r="C13" s="82">
        <v>3.0</v>
      </c>
      <c r="D13" s="82">
        <v>0.0</v>
      </c>
      <c r="E13" s="82">
        <v>4.0</v>
      </c>
      <c r="F13" s="82">
        <v>1.0</v>
      </c>
      <c r="G13" s="82">
        <v>0.0</v>
      </c>
      <c r="H13" s="82">
        <v>0.0</v>
      </c>
      <c r="I13" s="82"/>
      <c r="J13" s="83">
        <f t="shared" si="1"/>
        <v>5</v>
      </c>
      <c r="K13" s="84">
        <v>0.0</v>
      </c>
      <c r="L13" s="83">
        <f t="shared" si="2"/>
        <v>5</v>
      </c>
      <c r="M13" s="90">
        <f t="shared" si="3"/>
        <v>0</v>
      </c>
    </row>
    <row r="14" ht="18.75" customHeight="1">
      <c r="A14" s="44" t="s">
        <v>323</v>
      </c>
      <c r="B14" s="82">
        <v>25.0</v>
      </c>
      <c r="C14" s="82">
        <v>21.0</v>
      </c>
      <c r="D14" s="82">
        <v>4.0</v>
      </c>
      <c r="E14" s="82">
        <v>21.0</v>
      </c>
      <c r="F14" s="82">
        <v>5.0</v>
      </c>
      <c r="G14" s="82">
        <v>24.0</v>
      </c>
      <c r="H14" s="82">
        <v>21.0</v>
      </c>
      <c r="I14" s="82"/>
      <c r="J14" s="83">
        <f t="shared" si="1"/>
        <v>75</v>
      </c>
      <c r="K14" s="84">
        <v>75.0</v>
      </c>
      <c r="L14" s="83">
        <f t="shared" si="2"/>
        <v>0</v>
      </c>
      <c r="M14" s="90">
        <f t="shared" si="3"/>
        <v>9750</v>
      </c>
    </row>
    <row r="15" ht="18.75" customHeight="1">
      <c r="A15" s="44" t="s">
        <v>327</v>
      </c>
      <c r="B15" s="82">
        <v>2.0</v>
      </c>
      <c r="C15" s="82">
        <v>2.0</v>
      </c>
      <c r="D15" s="82">
        <v>0.0</v>
      </c>
      <c r="E15" s="82">
        <v>2.0</v>
      </c>
      <c r="F15" s="82">
        <v>0.0</v>
      </c>
      <c r="G15" s="82">
        <v>0.0</v>
      </c>
      <c r="H15" s="82">
        <v>0.0</v>
      </c>
      <c r="I15" s="82"/>
      <c r="J15" s="83">
        <f t="shared" si="1"/>
        <v>2</v>
      </c>
      <c r="K15" s="84">
        <v>2.0</v>
      </c>
      <c r="L15" s="83">
        <f t="shared" si="2"/>
        <v>0</v>
      </c>
      <c r="M15" s="90">
        <f t="shared" si="3"/>
        <v>260</v>
      </c>
    </row>
    <row r="16" ht="18.75" customHeight="1">
      <c r="A16" s="44" t="s">
        <v>353</v>
      </c>
      <c r="B16" s="82">
        <v>16.0</v>
      </c>
      <c r="C16" s="82">
        <v>12.0</v>
      </c>
      <c r="D16" s="82">
        <v>4.0</v>
      </c>
      <c r="E16" s="82">
        <v>15.0</v>
      </c>
      <c r="F16" s="82">
        <v>3.0</v>
      </c>
      <c r="G16" s="82">
        <v>24.0</v>
      </c>
      <c r="H16" s="82">
        <v>13.0</v>
      </c>
      <c r="I16" s="82">
        <v>1.0</v>
      </c>
      <c r="J16" s="94">
        <v>49.0</v>
      </c>
      <c r="K16" s="84">
        <v>32.0</v>
      </c>
      <c r="L16" s="83">
        <f t="shared" si="2"/>
        <v>17</v>
      </c>
      <c r="M16" s="90">
        <f t="shared" si="3"/>
        <v>4160</v>
      </c>
    </row>
    <row r="17" ht="18.75" customHeight="1">
      <c r="A17" s="44" t="s">
        <v>49</v>
      </c>
      <c r="B17" s="82">
        <v>9.0</v>
      </c>
      <c r="C17" s="82">
        <v>8.0</v>
      </c>
      <c r="D17" s="82">
        <v>1.0</v>
      </c>
      <c r="E17" s="82">
        <v>9.0</v>
      </c>
      <c r="F17" s="82">
        <v>1.0</v>
      </c>
      <c r="G17" s="82">
        <v>6.0</v>
      </c>
      <c r="H17" s="82">
        <v>0.0</v>
      </c>
      <c r="I17" s="82"/>
      <c r="J17" s="83">
        <f t="shared" ref="J17:J25" si="4">SUM(D17:I17)</f>
        <v>17</v>
      </c>
      <c r="K17" s="84">
        <v>0.0</v>
      </c>
      <c r="L17" s="83">
        <f t="shared" si="2"/>
        <v>17</v>
      </c>
      <c r="M17" s="90">
        <f t="shared" si="3"/>
        <v>0</v>
      </c>
    </row>
    <row r="18" ht="18.75" customHeight="1">
      <c r="A18" s="44" t="s">
        <v>65</v>
      </c>
      <c r="B18" s="82">
        <v>5.0</v>
      </c>
      <c r="C18" s="82">
        <v>5.0</v>
      </c>
      <c r="D18" s="82">
        <v>0.0</v>
      </c>
      <c r="E18" s="82">
        <v>6.0</v>
      </c>
      <c r="F18" s="82">
        <v>2.0</v>
      </c>
      <c r="G18" s="82">
        <v>0.0</v>
      </c>
      <c r="H18" s="82">
        <v>0.0</v>
      </c>
      <c r="I18" s="82"/>
      <c r="J18" s="83">
        <f t="shared" si="4"/>
        <v>8</v>
      </c>
      <c r="K18" s="84">
        <v>0.0</v>
      </c>
      <c r="L18" s="83">
        <f t="shared" si="2"/>
        <v>8</v>
      </c>
      <c r="M18" s="90">
        <f t="shared" si="3"/>
        <v>0</v>
      </c>
    </row>
    <row r="19" ht="18.75" customHeight="1">
      <c r="A19" s="44" t="s">
        <v>98</v>
      </c>
      <c r="B19" s="82">
        <v>6.0</v>
      </c>
      <c r="C19" s="82">
        <v>5.0</v>
      </c>
      <c r="D19" s="82">
        <v>1.0</v>
      </c>
      <c r="E19" s="82">
        <v>6.0</v>
      </c>
      <c r="F19" s="82">
        <v>1.0</v>
      </c>
      <c r="G19" s="82">
        <v>6.0</v>
      </c>
      <c r="H19" s="82">
        <v>0.0</v>
      </c>
      <c r="I19" s="82"/>
      <c r="J19" s="83">
        <f t="shared" si="4"/>
        <v>14</v>
      </c>
      <c r="K19" s="84">
        <v>0.0</v>
      </c>
      <c r="L19" s="83">
        <f t="shared" si="2"/>
        <v>14</v>
      </c>
      <c r="M19" s="90">
        <f t="shared" si="3"/>
        <v>0</v>
      </c>
    </row>
    <row r="20" ht="18.75" customHeight="1">
      <c r="A20" s="44" t="s">
        <v>84</v>
      </c>
      <c r="B20" s="82">
        <v>6.0</v>
      </c>
      <c r="C20" s="82">
        <v>6.0</v>
      </c>
      <c r="D20" s="82">
        <v>0.0</v>
      </c>
      <c r="E20" s="82">
        <v>6.0</v>
      </c>
      <c r="F20" s="82">
        <v>1.0</v>
      </c>
      <c r="G20" s="82">
        <v>0.0</v>
      </c>
      <c r="H20" s="82">
        <v>0.0</v>
      </c>
      <c r="I20" s="82"/>
      <c r="J20" s="83">
        <f t="shared" si="4"/>
        <v>7</v>
      </c>
      <c r="K20" s="84">
        <v>0.0</v>
      </c>
      <c r="L20" s="83">
        <f t="shared" si="2"/>
        <v>7</v>
      </c>
      <c r="M20" s="90">
        <f t="shared" si="3"/>
        <v>0</v>
      </c>
    </row>
    <row r="21" ht="18.75" customHeight="1">
      <c r="A21" s="44" t="s">
        <v>222</v>
      </c>
      <c r="B21" s="82">
        <v>4.0</v>
      </c>
      <c r="C21" s="82">
        <v>4.0</v>
      </c>
      <c r="D21" s="82">
        <v>0.0</v>
      </c>
      <c r="E21" s="82">
        <v>5.0</v>
      </c>
      <c r="F21" s="82">
        <v>1.0</v>
      </c>
      <c r="G21" s="82">
        <v>0.0</v>
      </c>
      <c r="H21" s="82">
        <v>0.0</v>
      </c>
      <c r="I21" s="82"/>
      <c r="J21" s="83">
        <f t="shared" si="4"/>
        <v>6</v>
      </c>
      <c r="K21" s="84">
        <v>2.0</v>
      </c>
      <c r="L21" s="83">
        <f t="shared" si="2"/>
        <v>4</v>
      </c>
      <c r="M21" s="90">
        <f t="shared" si="3"/>
        <v>260</v>
      </c>
    </row>
    <row r="22" ht="18.75" customHeight="1">
      <c r="A22" s="54" t="s">
        <v>414</v>
      </c>
      <c r="B22" s="82">
        <v>2.0</v>
      </c>
      <c r="C22" s="82">
        <v>2.0</v>
      </c>
      <c r="D22" s="82">
        <v>0.0</v>
      </c>
      <c r="E22" s="82">
        <v>0.0</v>
      </c>
      <c r="F22" s="82">
        <v>0.0</v>
      </c>
      <c r="G22" s="82">
        <v>0.0</v>
      </c>
      <c r="H22" s="82">
        <v>0.0</v>
      </c>
      <c r="I22" s="82"/>
      <c r="J22" s="83">
        <f t="shared" si="4"/>
        <v>0</v>
      </c>
      <c r="K22" s="84">
        <v>1.0</v>
      </c>
      <c r="L22" s="87">
        <f t="shared" si="2"/>
        <v>-1</v>
      </c>
      <c r="M22" s="88">
        <f t="shared" si="3"/>
        <v>130</v>
      </c>
    </row>
    <row r="23" ht="18.75" customHeight="1">
      <c r="A23" s="44" t="s">
        <v>196</v>
      </c>
      <c r="B23" s="82">
        <v>2.0</v>
      </c>
      <c r="C23" s="82">
        <v>1.0</v>
      </c>
      <c r="D23" s="82">
        <v>1.0</v>
      </c>
      <c r="E23" s="82">
        <v>1.0</v>
      </c>
      <c r="F23" s="82">
        <v>0.0</v>
      </c>
      <c r="G23" s="82">
        <v>6.0</v>
      </c>
      <c r="H23" s="82">
        <v>0.0</v>
      </c>
      <c r="I23" s="82"/>
      <c r="J23" s="83">
        <f t="shared" si="4"/>
        <v>8</v>
      </c>
      <c r="K23" s="84">
        <v>4.0</v>
      </c>
      <c r="L23" s="83">
        <f t="shared" si="2"/>
        <v>4</v>
      </c>
      <c r="M23" s="90">
        <f t="shared" si="3"/>
        <v>520</v>
      </c>
    </row>
    <row r="24" ht="18.75" customHeight="1">
      <c r="A24" s="54" t="s">
        <v>215</v>
      </c>
      <c r="B24" s="82">
        <v>5.0</v>
      </c>
      <c r="C24" s="82">
        <v>4.0</v>
      </c>
      <c r="D24" s="82">
        <v>1.0</v>
      </c>
      <c r="E24" s="82">
        <v>0.0</v>
      </c>
      <c r="F24" s="82">
        <v>0.0</v>
      </c>
      <c r="G24" s="82">
        <v>4.0</v>
      </c>
      <c r="H24" s="82">
        <v>0.0</v>
      </c>
      <c r="I24" s="82"/>
      <c r="J24" s="83">
        <f t="shared" si="4"/>
        <v>5</v>
      </c>
      <c r="K24" s="84">
        <v>0.0</v>
      </c>
      <c r="L24" s="83">
        <f t="shared" si="2"/>
        <v>5</v>
      </c>
      <c r="M24" s="90">
        <f t="shared" si="3"/>
        <v>0</v>
      </c>
    </row>
    <row r="25" ht="18.75" customHeight="1">
      <c r="A25" s="44" t="s">
        <v>440</v>
      </c>
      <c r="B25" s="82">
        <v>2.0</v>
      </c>
      <c r="C25" s="82">
        <v>2.0</v>
      </c>
      <c r="D25" s="82">
        <v>0.0</v>
      </c>
      <c r="E25" s="82">
        <v>2.0</v>
      </c>
      <c r="F25" s="82">
        <v>0.0</v>
      </c>
      <c r="G25" s="82">
        <v>0.0</v>
      </c>
      <c r="H25" s="82">
        <v>0.0</v>
      </c>
      <c r="I25" s="82"/>
      <c r="J25" s="83">
        <f t="shared" si="4"/>
        <v>2</v>
      </c>
      <c r="K25" s="84">
        <v>1.0</v>
      </c>
      <c r="L25" s="83">
        <f t="shared" si="2"/>
        <v>1</v>
      </c>
      <c r="M25" s="90">
        <f t="shared" si="3"/>
        <v>130</v>
      </c>
    </row>
    <row r="26" ht="12.75" customHeight="1"/>
    <row r="27" ht="18.75" customHeight="1">
      <c r="A27" s="91" t="s">
        <v>485</v>
      </c>
      <c r="B27" s="31"/>
    </row>
    <row r="28" ht="18.75" customHeight="1">
      <c r="A28" s="44" t="s">
        <v>486</v>
      </c>
      <c r="B28" s="92">
        <v>130.0</v>
      </c>
    </row>
    <row r="29" ht="18.75" customHeight="1">
      <c r="A29" s="44" t="s">
        <v>480</v>
      </c>
      <c r="B29" s="21">
        <f>SUM(J2:J25)</f>
        <v>401</v>
      </c>
    </row>
    <row r="30" ht="18.75" customHeight="1">
      <c r="A30" s="44" t="s">
        <v>487</v>
      </c>
      <c r="B30" s="93">
        <f>B29*B28</f>
        <v>52130</v>
      </c>
    </row>
    <row r="31" ht="12.75" customHeight="1"/>
    <row r="32" ht="18.75" customHeight="1">
      <c r="A32" s="91" t="s">
        <v>488</v>
      </c>
      <c r="B32" s="31"/>
    </row>
    <row r="33" ht="18.75" customHeight="1">
      <c r="A33" s="44" t="s">
        <v>486</v>
      </c>
      <c r="B33" s="92">
        <v>130.0</v>
      </c>
    </row>
    <row r="34" ht="18.75" customHeight="1">
      <c r="A34" s="44" t="s">
        <v>480</v>
      </c>
      <c r="B34" s="21">
        <f>SUM(K2:K25)</f>
        <v>267</v>
      </c>
    </row>
    <row r="35" ht="18.75" customHeight="1">
      <c r="A35" s="44" t="s">
        <v>487</v>
      </c>
      <c r="B35" s="93">
        <f>B34*B33</f>
        <v>34710</v>
      </c>
    </row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</sheetData>
  <mergeCells count="2">
    <mergeCell ref="A27:B27"/>
    <mergeCell ref="A32:B3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2024-11-29T03:03:23Z</dcterms:created>
  <dc:creator>Vitor Cardoso</dc:creator>
</cp:coreProperties>
</file>